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d24ac9516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F Profile Assessment" sheetId="1" r:id="Reb2bf50a4d884913"/>
    <x:sheet xmlns:r="http://schemas.openxmlformats.org/officeDocument/2006/relationships" name="Function Summary" sheetId="2" r:id="R23018f403c9e4c37"/>
    <x:sheet xmlns:r="http://schemas.openxmlformats.org/officeDocument/2006/relationships" name="Action Plan" sheetId="3" r:id="R7f1a9fd1bb884b09"/>
    <x:sheet xmlns:r="http://schemas.openxmlformats.org/officeDocument/2006/relationships" name="Methodology" sheetId="4" r:id="R8887d3d333b442d9"/>
    <x:sheet xmlns:r="http://schemas.openxmlformats.org/officeDocument/2006/relationships" name="Lists" sheetId="5" r:id="R587f8d404e4f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"/>
    <x:numFmt numFmtId="202" formatCode="0%"/>
    <x:numFmt numFmtId="203" formatCode="mmm d, yyyy"/>
    <x:numFmt numFmtId="204" formatCode="0"/>
  </x:numFmts>
  <x:fonts count="14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i/>
      <x:sz val="10"/>
      <x:name val="Carlito"/>
    </x:font>
    <x:font>
      <x:i/>
      <x:sz val="11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202B35"/>
      <x:name val="Arial"/>
    </x:font>
    <x:font>
      <x:sz val="10"/>
      <x:color rgb="FF202B35"/>
      <x:name val="Arial"/>
    </x:font>
    <x:font>
      <x:i/>
      <x:sz val="10"/>
      <x:color rgb="FF202B35"/>
      <x:name val="Arial"/>
    </x:font>
    <x:font>
      <x:b/>
      <x:sz val="15"/>
      <x:color rgb="FF23374D"/>
      <x:name val="Arial"/>
    </x:font>
    <x:font>
      <x:b/>
      <x:sz val="10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E7E6E6"/>
      </x:patternFill>
    </x:fill>
    <x:fill>
      <x:patternFill patternType="solid">
        <x:fgColor rgb="FFF8F8F8"/>
      </x:patternFill>
    </x:fill>
    <x:fill>
      <x:patternFill patternType="solid">
        <x:fgColor rgb="FFFFFD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8DC"/>
      </x:patternFill>
    </x:fill>
    <x:fill>
      <x:patternFill patternType="solid">
        <x:fgColor rgb="FFFFFFFF"/>
      </x:patternFill>
    </x:fill>
    <x:fill>
      <x:patternFill patternType="solid">
        <x:fgColor rgb="FFEDF0F3"/>
      </x:patternFill>
    </x:fill>
    <x:fill>
      <x:patternFill patternType="solid">
        <x:fgColor rgb="FF23374D"/>
      </x:patternFill>
    </x:fill>
  </x:fills>
  <x:borders count="2">
    <x:border/>
    <x:border/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203" fontId="6" fillId="8" borderId="0" xfId="0" applyNumberFormat="1" applyFont="1" applyFill="1" applyBorder="1" applyAlignment="1">
      <x:alignment vertical="center" wrapText="1"/>
    </x:xf>
    <x:xf numFmtId="203" fontId="6" fillId="9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200" fontId="10" fillId="6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center" wrapText="1"/>
    </x:xf>
    <x:xf numFmtId="203" fontId="10" fillId="8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vertical="top" wrapText="1"/>
    </x:xf>
    <x:xf numFmtId="0" fontId="10" fillId="8" borderId="0" xfId="0" applyNumberFormat="1" applyFont="1" applyFill="1" applyBorder="1" applyAlignment="1">
      <x:alignment vertical="top" wrapText="1"/>
    </x:xf>
    <x:xf numFmtId="203" fontId="10" fillId="8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200" fontId="10" fillId="10" borderId="0" xfId="0" applyNumberFormat="1" applyFont="1" applyFill="1" applyBorder="1" applyAlignment="1">
      <x:alignment vertical="top" wrapText="1"/>
    </x:xf>
    <x:xf numFmtId="203" fontId="10" fillId="10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0" borderId="0" xfId="0" applyNumberFormat="1" applyFont="1" applyFill="1" applyBorder="1"/>
    <x:xf numFmtId="0" fontId="12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top" wrapText="1"/>
    </x:xf>
    <x:xf numFmtId="0" fontId="9" fillId="13" borderId="0" xfId="0" applyNumberFormat="1" applyFont="1" applyFill="1" applyBorder="1" applyAlignment="1">
      <x:alignment horizontal="center" vertical="top" wrapText="1"/>
    </x:xf>
    <x:xf numFmtId="0" fontId="10" fillId="13" borderId="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horizontal="center"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3" fontId="7" fillId="1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203" fontId="10" fillId="1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/>
    <x:xf numFmtId="200" fontId="10" fillId="0" borderId="0" xfId="0" applyNumberFormat="1" applyFont="1" applyFill="1" applyBorder="1" applyAlignment="1">
      <x:alignment wrapText="1"/>
    </x:xf>
    <x:xf numFmtId="203" fontId="10" fillId="3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wrapText="1"/>
    </x:xf>
    <x:xf numFmtId="20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  <x:xf numFmtId="203" fontId="10" fillId="12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1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 vertical="center" wrapText="1"/>
    </x:xf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204" fontId="10" fillId="0" borderId="0" xfId="0" applyNumberFormat="1" applyFont="1" applyFill="1" applyBorder="1"/>
    <x:xf numFmtId="204" fontId="10" fillId="0" borderId="0" xfId="0" applyNumberFormat="1" applyFont="1" applyFill="1" applyBorder="1" applyAlignment="1">
      <x:alignment wrapText="1"/>
    </x:xf>
    <x:xf numFmtId="203" fontId="10" fillId="0" borderId="0" xfId="0" applyNumberFormat="1" applyFont="1" applyFill="1" applyBorder="1"/>
    <x:xf numFmtId="0" fontId="10" fillId="13" borderId="0" xfId="0" applyNumberFormat="1" applyFont="1" applyFill="1" applyBorder="1"/>
    <x:xf numFmtId="200" fontId="10" fillId="12" borderId="0" xfId="0" applyNumberFormat="1" applyFont="1" applyFill="1" applyBorder="1" applyAlignment="1">
      <x:alignment vertical="top" wrapText="1"/>
    </x:xf>
    <x:xf numFmtId="203" fontId="10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2020"/>
      </x:font>
      <x:fill>
        <x:patternFill>
          <x:bgColor rgb="FFFCE5E5"/>
        </x:patternFill>
      </x:fill>
    </x:dxf>
    <x:dxf>
      <x:font>
        <x:color rgb="FF9C2020"/>
      </x:font>
      <x:fill>
        <x:patternFill>
          <x:bgColor rgb="FFFCE5E5"/>
        </x:patternFill>
      </x:fill>
    </x:dxf>
    <x:dxf>
      <x:font>
        <x:color rgb="FF9C2020"/>
      </x:font>
      <x:fill>
        <x:patternFill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da0d0f4134b0f" /><Relationship Type="http://schemas.openxmlformats.org/officeDocument/2006/relationships/theme" Target="/xl/theme/theme1.xml" Id="R856743df5c8d4e70" /><Relationship Type="http://schemas.openxmlformats.org/officeDocument/2006/relationships/sharedStrings" Target="/xl/sharedStrings.xml" Id="R7d1ee0d02c20423a" /><Relationship Type="http://schemas.openxmlformats.org/officeDocument/2006/relationships/worksheet" Target="/xl/worksheets/sheet1.xml" Id="Reb2bf50a4d884913" /><Relationship Type="http://schemas.openxmlformats.org/officeDocument/2006/relationships/worksheet" Target="/xl/worksheets/sheet2.xml" Id="R23018f403c9e4c37" /><Relationship Type="http://schemas.openxmlformats.org/officeDocument/2006/relationships/worksheet" Target="/xl/worksheets/sheet3.xml" Id="R7f1a9fd1bb884b09" /><Relationship Type="http://schemas.openxmlformats.org/officeDocument/2006/relationships/worksheet" Target="/xl/worksheets/sheet4.xml" Id="R8887d3d333b442d9" /><Relationship Type="http://schemas.openxmlformats.org/officeDocument/2006/relationships/worksheet" Target="/xl/worksheets/sheet5.xml" Id="R587f8d404e4f4a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fb84ebe4e94d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Average Current and Target Scores by Function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Avg Current</c:v>
          </c:tx>
          <c:cat>
            <c:strRef>
              <c:f>'Function Summary'!$A$4:$A$9</c:f>
              <c:strCache>
                <c:ptCount val="0"/>
              </c:strCache>
            </c:strRef>
          </c:cat>
          <c:val>
            <c:numRef>
              <c:f>'Function Summary'!$C$4:$C$9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Avg Target</c:v>
          </c:tx>
          <c:cat>
            <c:strRef>
              <c:f>'Function Summary'!$A$4:$A$9</c:f>
              <c:strCache>
                <c:ptCount val="0"/>
              </c:strCache>
            </c:strRef>
          </c:cat>
          <c:val>
            <c:numRef>
              <c:f>'Function Summary'!$D$4:$D$9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fb84ebe4e94d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CSFProfile" displayName="CSFProfile" ref="A4:AB64" headerRowCount="1" totalsRowCount="0" totalsRowShown="0">
  <x:autoFilter ref="A4:AB64"/>
  <x:tableColumns count="28">
    <x:tableColumn id="1" name="Item ID"/>
    <x:tableColumn id="2" name="Function"/>
    <x:tableColumn id="3" name="CSF Category"/>
    <x:tableColumn id="4" name="Category Name"/>
    <x:tableColumn id="5" name="Assessment Focus"/>
    <x:tableColumn id="6" name="Current Status"/>
    <x:tableColumn id="7" name="Current Score"/>
    <x:tableColumn id="8" name="Target Status"/>
    <x:tableColumn id="9" name="Target Score"/>
    <x:tableColumn id="10" name="Gap"/>
    <x:tableColumn id="11" name="Business Impact"/>
    <x:tableColumn id="12" name="Priority Score"/>
    <x:tableColumn id="13" name="Priority"/>
    <x:tableColumn id="14" name="Current Evidence / Observation"/>
    <x:tableColumn id="15" name="Gap / Finding"/>
    <x:tableColumn id="16" name="Recommended Action"/>
    <x:tableColumn id="17" name="Owner"/>
    <x:tableColumn id="18" name="Target / Review Date"/>
    <x:tableColumn id="19" name="Action Status"/>
    <x:tableColumn id="20" name="Assessment Rationale"/>
    <x:tableColumn id="21" name="Evidence Basis"/>
    <x:tableColumn id="22" name="Evidence Reference or Request"/>
    <x:tableColumn id="23" name="Assessment Review Date"/>
    <x:tableColumn id="24" name="Closure or Acceptance Note"/>
    <x:tableColumn id="25" name="Input Check"/>
    <x:tableColumn id="26" name="Follow-up Check"/>
    <x:tableColumn id="27" name="Related Risk IDs"/>
    <x:tableColumn id="28" name="Completion / Maintenance Te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GapActions" displayName="GapActions" ref="A4:U64" headerRowCount="1" totalsRowCount="0" totalsRowShown="0">
  <x:autoFilter ref="A4:U64"/>
  <x:tableColumns count="21">
    <x:tableColumn id="1" name="Item ID"/>
    <x:tableColumn id="2" name="Function"/>
    <x:tableColumn id="3" name="Category"/>
    <x:tableColumn id="4" name="Priority"/>
    <x:tableColumn id="5" name="Needs Action"/>
    <x:tableColumn id="6" name="Finding"/>
    <x:tableColumn id="7" name="Recommended Action"/>
    <x:tableColumn id="8" name="Owner"/>
    <x:tableColumn id="9" name="Target / Review Date"/>
    <x:tableColumn id="10" name="Action Status"/>
    <x:tableColumn id="11" name="Days Remaining"/>
    <x:tableColumn id="12" name="Assessment Rationale"/>
    <x:tableColumn id="13" name="Evidence Basis"/>
    <x:tableColumn id="14" name="Evidence Reference or Request"/>
    <x:tableColumn id="15" name="Assessment Review Date"/>
    <x:tableColumn id="16" name="Closure or Acceptance Note"/>
    <x:tableColumn id="17" name="Input Check"/>
    <x:tableColumn id="18" name="Follow-up Check"/>
    <x:tableColumn id="19" name="Related Risk IDs"/>
    <x:tableColumn id="20" name="Completion / Maintenance Test"/>
    <x:tableColumn id="21" name="Sched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pexCloud">
  <a:themeElements>
    <a:clrScheme name="ApexClou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pexClou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76f30e0bf44e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579f27108e847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eff4ae84e2461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30" hidden="0" customWidth="1"/>
    <x:col min="5" max="5" width="62" hidden="0" customWidth="1"/>
    <x:col min="6" max="6" width="18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4" hidden="0" customWidth="1"/>
    <x:col min="14" max="14" width="60" hidden="0" customWidth="1"/>
    <x:col min="15" max="15" width="52" hidden="0" customWidth="1"/>
    <x:col min="16" max="16" width="58" hidden="0" customWidth="1"/>
    <x:col min="17" max="17" width="23" hidden="0" customWidth="1"/>
    <x:col min="18" max="18" width="15" hidden="0" customWidth="1"/>
    <x:col min="19" max="19" width="17" hidden="0" customWidth="1"/>
    <x:col min="20" max="20" width="67" hidden="0" customWidth="1"/>
    <x:col min="21" max="21" width="21" hidden="0" customWidth="1"/>
    <x:col min="22" max="22" width="65" hidden="0" customWidth="1"/>
    <x:col min="23" max="23" width="15" hidden="0" customWidth="1"/>
    <x:col min="24" max="24" width="48" hidden="0" customWidth="1"/>
    <x:col min="25" max="25" width="29" hidden="0" customWidth="1"/>
    <x:col min="26" max="26" width="27" hidden="0" customWidth="1"/>
    <x:col min="27" max="27" width="30" hidden="0" customWidth="1"/>
    <x:col min="28" max="28" width="65" hidden="0" customWidth="1"/>
  </x:cols>
  <x:sheetData>
    <x:row r="1" ht="30" customHeight="1">
      <x:c r="A1" s="98" t="str">
        <x:v>ApexCloud Solutions - NIST CSF 2.0 Profile Assessment</x:v>
      </x:c>
      <x:c r="B1" s="98"/>
      <x:c r="C1" s="98"/>
      <x:c r="D1" s="98"/>
      <x:c r="E1" s="98"/>
      <x:c r="F1" s="98"/>
      <x:c r="G1" s="98"/>
      <x:c r="H1" s="98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  <x:c r="AA1" s="79"/>
      <x:c r="AB1" s="79"/>
    </x:row>
    <x:row r="2" ht="30" customHeight="1">
      <x:c r="A2" s="99" t="str">
        <x:v>Fictional SaaS assessment. Yellow cells are inputs. Gray cells calculate results. Evidence requests and tests are proposed, not completed.</x:v>
      </x:c>
      <x:c r="B2" s="101"/>
      <x:c r="C2" s="101"/>
      <x:c r="D2" s="101"/>
      <x:c r="E2" s="101"/>
      <x:c r="F2" s="101"/>
      <x:c r="G2" s="101"/>
      <x:c r="H2" s="101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  <x:c r="AA2" s="79"/>
      <x:c r="AB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  <x:c r="AA3" s="79"/>
      <x:c r="AB3" s="79"/>
    </x:row>
    <x:row r="4" ht="48" customHeight="1">
      <x:c r="A4" s="107" t="str">
        <x:v>Item ID</x:v>
      </x:c>
      <x:c r="B4" s="107" t="str">
        <x:v>Function</x:v>
      </x:c>
      <x:c r="C4" s="107" t="str">
        <x:v>CSF Category</x:v>
      </x:c>
      <x:c r="D4" s="107" t="str">
        <x:v>Category Name</x:v>
      </x:c>
      <x:c r="E4" s="107" t="str">
        <x:v>Assessment Focus</x:v>
      </x:c>
      <x:c r="F4" s="107" t="str">
        <x:v>Current Status</x:v>
      </x:c>
      <x:c r="G4" s="107" t="str">
        <x:v>Current Score</x:v>
      </x:c>
      <x:c r="H4" s="107" t="str">
        <x:v>Target Status</x:v>
      </x:c>
      <x:c r="I4" s="107" t="str">
        <x:v>Target Score</x:v>
      </x:c>
      <x:c r="J4" s="107" t="str">
        <x:v>Gap</x:v>
      </x:c>
      <x:c r="K4" s="107" t="str">
        <x:v>Business Impact</x:v>
      </x:c>
      <x:c r="L4" s="107" t="str">
        <x:v>Priority Score</x:v>
      </x:c>
      <x:c r="M4" s="107" t="str">
        <x:v>Priority</x:v>
      </x:c>
      <x:c r="N4" s="107" t="str">
        <x:v>Current Evidence / Observation</x:v>
      </x:c>
      <x:c r="O4" s="107" t="str">
        <x:v>Gap / Finding</x:v>
      </x:c>
      <x:c r="P4" s="107" t="str">
        <x:v>Recommended Action</x:v>
      </x:c>
      <x:c r="Q4" s="107" t="str">
        <x:v>Owner</x:v>
      </x:c>
      <x:c r="R4" s="107" t="str">
        <x:v>Target / Review Date</x:v>
      </x:c>
      <x:c r="S4" s="107" t="str">
        <x:v>Action Status</x:v>
      </x:c>
      <x:c r="T4" s="107" t="str">
        <x:v>Assessment Rationale</x:v>
      </x:c>
      <x:c r="U4" s="107" t="str">
        <x:v>Evidence Basis</x:v>
      </x:c>
      <x:c r="V4" s="107" t="str">
        <x:v>Evidence Reference or Request</x:v>
      </x:c>
      <x:c r="W4" s="107" t="str">
        <x:v>Assessment Review Date</x:v>
      </x:c>
      <x:c r="X4" s="107" t="str">
        <x:v>Closure or Acceptance Note</x:v>
      </x:c>
      <x:c r="Y4" s="107" t="str">
        <x:v>Input Check</x:v>
      </x:c>
      <x:c r="Z4" s="107" t="str">
        <x:v>Follow-up Check</x:v>
      </x:c>
      <x:c r="AA4" s="107" t="str">
        <x:v>Related Risk IDs</x:v>
      </x:c>
      <x:c r="AB4" s="107" t="str">
        <x:v>Completion / Maintenance Test</x:v>
      </x:c>
    </x:row>
    <x:row r="5" ht="92" customHeight="1">
      <x:c r="A5" s="93" t="str">
        <x:v>GA-001</x:v>
      </x:c>
      <x:c r="B5" s="93" t="str">
        <x:v>Govern</x:v>
      </x:c>
      <x:c r="C5" s="93" t="str">
        <x:v>GV.OC</x:v>
      </x:c>
      <x:c r="D5" s="93" t="str">
        <x:v>Organizational Context</x:v>
      </x:c>
      <x:c r="E5" s="93" t="str">
        <x:v>Are critical business services, dependencies, stakeholders, and cybersecurity requirements documented?</x:v>
      </x:c>
      <x:c r="F5" s="93" t="str">
        <x:v>Partial</x:v>
      </x:c>
      <x:c r="G5" s="102" t="n">
        <x:f>IF(F5="","",IF(F5="Not in place",0,IF(F5="Ad hoc",1,IF(F5="Partial",2,IF(F5="Mostly",3,IF(F5="In place",4,""))))))</x:f>
        <x:v>2</x:v>
      </x:c>
      <x:c r="H5" s="93" t="str">
        <x:v>Mostly</x:v>
      </x:c>
      <x:c r="I5" s="102" t="n">
        <x:f>IF(H5="","",IF(H5="Not in place",0,IF(H5="Ad hoc",1,IF(H5="Partial",2,IF(H5="Mostly",3,IF(H5="In place",4,""))))))</x:f>
        <x:v>3</x:v>
      </x:c>
      <x:c r="J5" s="102" t="n">
        <x:f>IF(A5="","",IF(COUNT(G5,I5)=2,MAX(0,I5-G5),""))</x:f>
        <x:v>1</x:v>
      </x:c>
      <x:c r="K5" s="93" t="n">
        <x:v>2</x:v>
      </x:c>
      <x:c r="L5" s="102" t="n">
        <x:f>IF(A5="","",IF(COUNT(J5,K5)&lt;&gt;2,"",IF(AND(K5&gt;=1,K5&lt;=3,MOD(K5,1)=0),J5*K5,"")))</x:f>
        <x:v>2</x:v>
      </x:c>
      <x:c r="M5" s="102" t="str">
        <x:f>IF(A5="","",IF(ISNUMBER(L5),IF(L5=0,"No Gap",IF(L5&gt;=6,"High",IF(L5&gt;=3,"Medium","Low"))),"Not assessed"))</x:f>
        <x:v>Low</x:v>
      </x:c>
      <x:c r="N5" s="93" t="str">
        <x:v>Critical SaaS services and major systems are known; dependencies and requirements are spread across separate records.</x:v>
      </x:c>
      <x:c r="O5" s="93" t="str">
        <x:v>Dependencies and security requirements are not maintained in one consistent source.</x:v>
      </x:c>
      <x:c r="P5" s="93" t="str">
        <x:v>Create a lightweight business/service dependency and cybersecurity-requirements register.</x:v>
      </x:c>
      <x:c r="Q5" s="93" t="str">
        <x:v>Compliance Manager</x:v>
      </x:c>
      <x:c r="R5" s="95" t="n">
        <x:v>46362</x:v>
      </x:c>
      <x:c r="S5" s="93" t="str">
        <x:v>Planned</x:v>
      </x:c>
      <x:c r="T5" s="93" t="str">
        <x:v>Separate service records support Partial (2). A maintained dependency and requirements register is the Mostly (3) target. Impact 2 reflects delayed ownership and recovery decisions.</x:v>
      </x:c>
      <x:c r="U5" s="93" t="str">
        <x:v>Scenario only</x:v>
      </x:c>
      <x:c r="V5" s="93" t="str">
        <x:v>Service inventory, dependency diagrams, customer security requirements and owner approvals.</x:v>
      </x:c>
      <x:c r="W5" s="95" t="n">
        <x:v>46298</x:v>
      </x:c>
      <x:c r="X5" s="93"/>
      <x:c r="Y5" s="102" t="str">
        <x:f>IF(COUNTA(A5:F5,H5,K5,N5:X5,AA5:AB5)=0,"",IF(A5="","Missing ID",IF(COUNTIF($A$5:$A$64,A5)&gt;1,"Duplicate ID",IF(OR(B5="",C5="",D5="",E5="",N5="",O5="",P5=""),"Missing assessment context",IF(NOT(ISNUMBER(L5)),"Incomplete or invalid scores",IF(OR(Q5="",NOT(OR(S5="Open",S5="Planned",S5="In Progress",S5="Monitor",S5="Closed",S5="Accepted"))),"Missing owner or invalid status",IF(NOT(ISNUMBER(R5)),"Missing or invalid target date",IF(R5&lt;=0,"Missing or invalid target date",IF(COUNTIFS(Lists!$J$2:$J$23,C5,Lists!$K$2:$K$23,B5)=0,"Category/function mismatch",IF(AND(ISNUMBER(J5),J5&gt;0,S5="Monitor"),"Gap needs action","OK"))))))))))</x:f>
        <x:v>OK</x:v>
      </x:c>
      <x:c r="Z5" s="102" t="str">
        <x:f>IF(A5="","",IF(OR(T5="",NOT(OR(U5="Scenario only",U5="Evidence requested",U5="Evidence reviewed")),V5="",NOT(ISNUMBER(W5)),AA5="",AB5=""),"Add assessment support",IF(OR(W5&lt;=0,W5&gt;Methodology!$B$25),"Review date outside period",IF(AND(OR(S5="Closed",S5="Accepted"),OR(X5="",U5&lt;&gt;"Evidence reviewed")),"Closure review needed",IF(OR(S5="Closed",S5="Accepted"),"Decision recorded",IF(U5="Evidence reviewed","Evidence recorded","Scenario documented"))))))</x:f>
        <x:v>Scenario documented</x:v>
      </x:c>
      <x:c r="AA5" s="93" t="str">
        <x:v>R-012, R-017</x:v>
      </x:c>
      <x:c r="AB5" s="93" t="str">
        <x:v>Trace each critical service to its owner, dependencies and security requirements; have business owners review the register.</x:v>
      </x:c>
    </x:row>
    <x:row r="6" ht="92" customHeight="1">
      <x:c r="A6" s="93" t="str">
        <x:v>GA-002</x:v>
      </x:c>
      <x:c r="B6" s="93" t="str">
        <x:v>Govern</x:v>
      </x:c>
      <x:c r="C6" s="93" t="str">
        <x:v>GV.RM</x:v>
      </x:c>
      <x:c r="D6" s="93" t="str">
        <x:v>Risk Management Strategy</x:v>
      </x:c>
      <x:c r="E6" s="93" t="str">
        <x:v>Is there a defined cyber-risk methodology, appetite/tolerance, escalation threshold, and review cadence?</x:v>
      </x:c>
      <x:c r="F6" s="93" t="str">
        <x:v>Ad hoc</x:v>
      </x:c>
      <x:c r="G6" s="102" t="n">
        <x:f>IF(F6="","",IF(F6="Not in place",0,IF(F6="Ad hoc",1,IF(F6="Partial",2,IF(F6="Mostly",3,IF(F6="In place",4,""))))))</x:f>
        <x:v>1</x:v>
      </x:c>
      <x:c r="H6" s="93" t="str">
        <x:v>Mostly</x:v>
      </x:c>
      <x:c r="I6" s="102" t="n">
        <x:f>IF(H6="","",IF(H6="Not in place",0,IF(H6="Ad hoc",1,IF(H6="Partial",2,IF(H6="Mostly",3,IF(H6="In place",4,""))))))</x:f>
        <x:v>3</x:v>
      </x:c>
      <x:c r="J6" s="102" t="n">
        <x:f>IF(A6="","",IF(COUNT(G6,I6)=2,MAX(0,I6-G6),""))</x:f>
        <x:v>2</x:v>
      </x:c>
      <x:c r="K6" s="93" t="n">
        <x:v>3</x:v>
      </x:c>
      <x:c r="L6" s="102" t="n">
        <x:f>IF(A6="","",IF(COUNT(J6,K6)&lt;&gt;2,"",IF(AND(K6&gt;=1,K6&lt;=3,MOD(K6,1)=0),J6*K6,"")))</x:f>
        <x:v>6</x:v>
      </x:c>
      <x:c r="M6" s="102" t="str">
        <x:f>IF(A6="","",IF(ISNUMBER(L6),IF(L6=0,"No Gap",IF(L6&gt;=6,"High",IF(L6&gt;=3,"Medium","Low"))),"Not assessed"))</x:f>
        <x:v>High</x:v>
      </x:c>
      <x:c r="N6" s="93" t="str">
        <x:v>Cyber risks are discussed and a risk register now exists, but appetite and escalation thresholds are not formally approved.</x:v>
      </x:c>
      <x:c r="O6" s="93" t="str">
        <x:v>Risk decisions can vary because escalation and acceptance criteria are not defined.</x:v>
      </x:c>
      <x:c r="P6" s="93" t="str">
        <x:v>Approve the risk-scoring method, risk appetite/tolerance, and quarterly risk-review process.</x:v>
      </x:c>
      <x:c r="Q6" s="93" t="str">
        <x:v>CISO</x:v>
      </x:c>
      <x:c r="R6" s="95" t="n">
        <x:v>46332</x:v>
      </x:c>
      <x:c r="S6" s="93" t="str">
        <x:v>In Progress</x:v>
      </x:c>
      <x:c r="T6" s="93" t="str">
        <x:v>Informal risk discussions support Ad hoc (1). An approved scoring, escalation and acceptance method is the Mostly (3) target. Impact 3 reflects inconsistent decisions on material risk.</x:v>
      </x:c>
      <x:c r="U6" s="93" t="str">
        <x:v>Scenario only</x:v>
      </x:c>
      <x:c r="V6" s="93" t="str">
        <x:v>Risk methodology, appetite/tolerance statement, escalation thresholds and approval record.</x:v>
      </x:c>
      <x:c r="W6" s="95" t="n">
        <x:v>46298</x:v>
      </x:c>
      <x:c r="X6" s="93"/>
      <x:c r="Y6" s="102" t="str">
        <x:f>IF(COUNTA(A6:F6,H6,K6,N6:X6,AA6:AB6)=0,"",IF(A6="","Missing ID",IF(COUNTIF($A$5:$A$64,A6)&gt;1,"Duplicate ID",IF(OR(B6="",C6="",D6="",E6="",N6="",O6="",P6=""),"Missing assessment context",IF(NOT(ISNUMBER(L6)),"Incomplete or invalid scores",IF(OR(Q6="",NOT(OR(S6="Open",S6="Planned",S6="In Progress",S6="Monitor",S6="Closed",S6="Accepted"))),"Missing owner or invalid status",IF(NOT(ISNUMBER(R6)),"Missing or invalid target date",IF(R6&lt;=0,"Missing or invalid target date",IF(COUNTIFS(Lists!$J$2:$J$23,C6,Lists!$K$2:$K$23,B6)=0,"Category/function mismatch",IF(AND(ISNUMBER(J6),J6&gt;0,S6="Monitor"),"Gap needs action","OK"))))))))))</x:f>
        <x:v>OK</x:v>
      </x:c>
      <x:c r="Z6" s="102" t="str">
        <x:f>IF(A6="","",IF(OR(T6="",NOT(OR(U6="Scenario only",U6="Evidence requested",U6="Evidence reviewed")),V6="",NOT(ISNUMBER(W6)),AA6="",AB6=""),"Add assessment support",IF(OR(W6&lt;=0,W6&gt;Methodology!$B$25),"Review date outside period",IF(AND(OR(S6="Closed",S6="Accepted"),OR(X6="",U6&lt;&gt;"Evidence reviewed")),"Closure review needed",IF(OR(S6="Closed",S6="Accepted"),"Decision recorded",IF(U6="Evidence reviewed","Evidence recorded","Scenario documented"))))))</x:f>
        <x:v>Scenario documented</x:v>
      </x:c>
      <x:c r="AA6" s="93" t="str">
        <x:v>R-022, R-030</x:v>
      </x:c>
      <x:c r="AB6" s="93" t="str">
        <x:v>Apply the approved method to sample risks and verify escalation and acceptance authority are consistent.</x:v>
      </x:c>
    </x:row>
    <x:row r="7" ht="92" customHeight="1">
      <x:c r="A7" s="93" t="str">
        <x:v>GA-003</x:v>
      </x:c>
      <x:c r="B7" s="93" t="str">
        <x:v>Govern</x:v>
      </x:c>
      <x:c r="C7" s="93" t="str">
        <x:v>GV.RR</x:v>
      </x:c>
      <x:c r="D7" s="93" t="str">
        <x:v>Roles, Responsibilities, and Authorities</x:v>
      </x:c>
      <x:c r="E7" s="93" t="str">
        <x:v>Are security and risk responsibilities assigned to named owners?</x:v>
      </x:c>
      <x:c r="F7" s="93" t="str">
        <x:v>Partial</x:v>
      </x:c>
      <x:c r="G7" s="102" t="n">
        <x:f>IF(F7="","",IF(F7="Not in place",0,IF(F7="Ad hoc",1,IF(F7="Partial",2,IF(F7="Mostly",3,IF(F7="In place",4,""))))))</x:f>
        <x:v>2</x:v>
      </x:c>
      <x:c r="H7" s="93" t="str">
        <x:v>Mostly</x:v>
      </x:c>
      <x:c r="I7" s="102" t="n">
        <x:f>IF(H7="","",IF(H7="Not in place",0,IF(H7="Ad hoc",1,IF(H7="Partial",2,IF(H7="Mostly",3,IF(H7="In place",4,""))))))</x:f>
        <x:v>3</x:v>
      </x:c>
      <x:c r="J7" s="102" t="n">
        <x:f>IF(A7="","",IF(COUNT(G7,I7)=2,MAX(0,I7-G7),""))</x:f>
        <x:v>1</x:v>
      </x:c>
      <x:c r="K7" s="93" t="n">
        <x:v>2</x:v>
      </x:c>
      <x:c r="L7" s="102" t="n">
        <x:f>IF(A7="","",IF(COUNT(J7,K7)&lt;&gt;2,"",IF(AND(K7&gt;=1,K7&lt;=3,MOD(K7,1)=0),J7*K7,"")))</x:f>
        <x:v>2</x:v>
      </x:c>
      <x:c r="M7" s="102" t="str">
        <x:f>IF(A7="","",IF(ISNUMBER(L7),IF(L7=0,"No Gap",IF(L7&gt;=6,"High",IF(L7&gt;=3,"Medium","Low"))),"Not assessed"))</x:f>
        <x:v>Low</x:v>
      </x:c>
      <x:c r="N7" s="93" t="str">
        <x:v>IT, security, HR, and business owners perform relevant tasks, but ownership is not consistently documented.</x:v>
      </x:c>
      <x:c r="O7" s="93" t="str">
        <x:v>Some controls and risks may lack clear accountability.</x:v>
      </x:c>
      <x:c r="P7" s="93" t="str">
        <x:v>Create a simple RACI covering risk owners, control owners, incident roles, and exception approvals.</x:v>
      </x:c>
      <x:c r="Q7" s="93" t="str">
        <x:v>CISO</x:v>
      </x:c>
      <x:c r="R7" s="95" t="n">
        <x:v>46347</x:v>
      </x:c>
      <x:c r="S7" s="93" t="str">
        <x:v>Planned</x:v>
      </x:c>
      <x:c r="T7" s="93" t="str">
        <x:v>People perform security tasks but ownership is not consistently recorded, supporting Partial (2). A documented responsibility matrix is the Mostly (3) target. Impact 2 reflects handoff failures.</x:v>
      </x:c>
      <x:c r="U7" s="93" t="str">
        <x:v>Scenario only</x:v>
      </x:c>
      <x:c r="V7" s="93" t="str">
        <x:v>Role descriptions, RACI matrix, control-owner list and escalation responsibilities.</x:v>
      </x:c>
      <x:c r="W7" s="95" t="n">
        <x:v>46298</x:v>
      </x:c>
      <x:c r="X7" s="93"/>
      <x:c r="Y7" s="102" t="str">
        <x:f>IF(COUNTA(A7:F7,H7,K7,N7:X7,AA7:AB7)=0,"",IF(A7="","Missing ID",IF(COUNTIF($A$5:$A$64,A7)&gt;1,"Duplicate ID",IF(OR(B7="",C7="",D7="",E7="",N7="",O7="",P7=""),"Missing assessment context",IF(NOT(ISNUMBER(L7)),"Incomplete or invalid scores",IF(OR(Q7="",NOT(OR(S7="Open",S7="Planned",S7="In Progress",S7="Monitor",S7="Closed",S7="Accepted"))),"Missing owner or invalid status",IF(NOT(ISNUMBER(R7)),"Missing or invalid target date",IF(R7&lt;=0,"Missing or invalid target date",IF(COUNTIFS(Lists!$J$2:$J$23,C7,Lists!$K$2:$K$23,B7)=0,"Category/function mismatch",IF(AND(ISNUMBER(J7),J7&gt;0,S7="Monitor"),"Gap needs action","OK"))))))))))</x:f>
        <x:v>OK</x:v>
      </x:c>
      <x:c r="Z7" s="102" t="str">
        <x:f>IF(A7="","",IF(OR(T7="",NOT(OR(U7="Scenario only",U7="Evidence requested",U7="Evidence reviewed")),V7="",NOT(ISNUMBER(W7)),AA7="",AB7=""),"Add assessment support",IF(OR(W7&lt;=0,W7&gt;Methodology!$B$25),"Review date outside period",IF(AND(OR(S7="Closed",S7="Accepted"),OR(X7="",U7&lt;&gt;"Evidence reviewed")),"Closure review needed",IF(OR(S7="Closed",S7="Accepted"),"Decision recorded",IF(U7="Evidence reviewed","Evidence recorded","Scenario documented"))))))</x:f>
        <x:v>Scenario documented</x:v>
      </x:c>
      <x:c r="AA7" s="93" t="str">
        <x:v>R-021</x:v>
      </x:c>
      <x:c r="AB7" s="93" t="str">
        <x:v>Confirm every priority risk/control has an accountable owner and incident decisions have a designated authority.</x:v>
      </x:c>
    </x:row>
    <x:row r="8" ht="92" customHeight="1">
      <x:c r="A8" s="93" t="str">
        <x:v>GA-004</x:v>
      </x:c>
      <x:c r="B8" s="93" t="str">
        <x:v>Govern</x:v>
      </x:c>
      <x:c r="C8" s="93" t="str">
        <x:v>GV.PO</x:v>
      </x:c>
      <x:c r="D8" s="93" t="str">
        <x:v>Policy</x:v>
      </x:c>
      <x:c r="E8" s="93" t="str">
        <x:v>Are core cybersecurity policies approved, owned, reviewed, and managed through an exception process?</x:v>
      </x:c>
      <x:c r="F8" s="93" t="str">
        <x:v>Ad hoc</x:v>
      </x:c>
      <x:c r="G8" s="102" t="n">
        <x:f>IF(F8="","",IF(F8="Not in place",0,IF(F8="Ad hoc",1,IF(F8="Partial",2,IF(F8="Mostly",3,IF(F8="In place",4,""))))))</x:f>
        <x:v>1</x:v>
      </x:c>
      <x:c r="H8" s="93" t="str">
        <x:v>Mostly</x:v>
      </x:c>
      <x:c r="I8" s="102" t="n">
        <x:f>IF(H8="","",IF(H8="Not in place",0,IF(H8="Ad hoc",1,IF(H8="Partial",2,IF(H8="Mostly",3,IF(H8="In place",4,""))))))</x:f>
        <x:v>3</x:v>
      </x:c>
      <x:c r="J8" s="102" t="n">
        <x:f>IF(A8="","",IF(COUNT(G8,I8)=2,MAX(0,I8-G8),""))</x:f>
        <x:v>2</x:v>
      </x:c>
      <x:c r="K8" s="93" t="n">
        <x:v>2</x:v>
      </x:c>
      <x:c r="L8" s="102" t="n">
        <x:f>IF(A8="","",IF(COUNT(J8,K8)&lt;&gt;2,"",IF(AND(K8&gt;=1,K8&lt;=3,MOD(K8,1)=0),J8*K8,"")))</x:f>
        <x:v>4</x:v>
      </x:c>
      <x:c r="M8" s="102" t="str">
        <x:f>IF(A8="","",IF(ISNUMBER(L8),IF(L8=0,"No Gap",IF(L8&gt;=6,"High",IF(L8&gt;=3,"Medium","Low"))),"Not assessed"))</x:f>
        <x:v>Medium</x:v>
      </x:c>
      <x:c r="N8" s="93" t="str">
        <x:v>Several practices exist, but policy ownership, annual review, and exceptions are inconsistent.</x:v>
      </x:c>
      <x:c r="O8" s="93" t="str">
        <x:v>Security expectations may be implemented differently across teams.</x:v>
      </x:c>
      <x:c r="P8" s="93" t="str">
        <x:v>Establish a policy lifecycle and complete priority policies for access control, incident response, backup, vendor risk, and exceptions.</x:v>
      </x:c>
      <x:c r="Q8" s="93" t="str">
        <x:v>Compliance Manager</x:v>
      </x:c>
      <x:c r="R8" s="95" t="n">
        <x:v>46362</x:v>
      </x:c>
      <x:c r="S8" s="93" t="str">
        <x:v>In Progress</x:v>
      </x:c>
      <x:c r="T8" s="93" t="str">
        <x:v>Policy ownership, reviews and exceptions are inconsistent, supporting Ad hoc (1). A repeatable policy lifecycle targets Mostly (3). Impact 2 reflects inconsistent security practices across teams.</x:v>
      </x:c>
      <x:c r="U8" s="93" t="str">
        <x:v>Scenario only</x:v>
      </x:c>
      <x:c r="V8" s="93" t="str">
        <x:v>Policy inventory, approvals, revision dates, review schedule and exception log.</x:v>
      </x:c>
      <x:c r="W8" s="95" t="n">
        <x:v>46298</x:v>
      </x:c>
      <x:c r="X8" s="93"/>
      <x:c r="Y8" s="102" t="str">
        <x:f>IF(COUNTA(A8:F8,H8,K8,N8:X8,AA8:AB8)=0,"",IF(A8="","Missing ID",IF(COUNTIF($A$5:$A$64,A8)&gt;1,"Duplicate ID",IF(OR(B8="",C8="",D8="",E8="",N8="",O8="",P8=""),"Missing assessment context",IF(NOT(ISNUMBER(L8)),"Incomplete or invalid scores",IF(OR(Q8="",NOT(OR(S8="Open",S8="Planned",S8="In Progress",S8="Monitor",S8="Closed",S8="Accepted"))),"Missing owner or invalid status",IF(NOT(ISNUMBER(R8)),"Missing or invalid target date",IF(R8&lt;=0,"Missing or invalid target date",IF(COUNTIFS(Lists!$J$2:$J$23,C8,Lists!$K$2:$K$23,B8)=0,"Category/function mismatch",IF(AND(ISNUMBER(J8),J8&gt;0,S8="Monitor"),"Gap needs action","OK"))))))))))</x:f>
        <x:v>OK</x:v>
      </x:c>
      <x:c r="Z8" s="102" t="str">
        <x:f>IF(A8="","",IF(OR(T8="",NOT(OR(U8="Scenario only",U8="Evidence requested",U8="Evidence reviewed")),V8="",NOT(ISNUMBER(W8)),AA8="",AB8=""),"Add assessment support",IF(OR(W8&lt;=0,W8&gt;Methodology!$B$25),"Review date outside period",IF(AND(OR(S8="Closed",S8="Accepted"),OR(X8="",U8&lt;&gt;"Evidence reviewed")),"Closure review needed",IF(OR(S8="Closed",S8="Accepted"),"Decision recorded",IF(U8="Evidence reviewed","Evidence recorded","Scenario documented"))))))</x:f>
        <x:v>Scenario documented</x:v>
      </x:c>
      <x:c r="AA8" s="93" t="str">
        <x:v>R-021, R-030</x:v>
      </x:c>
      <x:c r="AB8" s="93" t="str">
        <x:v>Sample priority policies for owner, approval and review date; trace an exception through the approved lifecycle.</x:v>
      </x:c>
    </x:row>
    <x:row r="9" ht="92" customHeight="1">
      <x:c r="A9" s="93" t="str">
        <x:v>GA-005</x:v>
      </x:c>
      <x:c r="B9" s="93" t="str">
        <x:v>Govern</x:v>
      </x:c>
      <x:c r="C9" s="93" t="str">
        <x:v>GV.OV</x:v>
      </x:c>
      <x:c r="D9" s="93" t="str">
        <x:v>Oversight</x:v>
      </x:c>
      <x:c r="E9" s="93" t="str">
        <x:v>Does leadership receive regular reporting on cyber risk, remediation, and exceptions?</x:v>
      </x:c>
      <x:c r="F9" s="93" t="str">
        <x:v>Partial</x:v>
      </x:c>
      <x:c r="G9" s="102" t="n">
        <x:f>IF(F9="","",IF(F9="Not in place",0,IF(F9="Ad hoc",1,IF(F9="Partial",2,IF(F9="Mostly",3,IF(F9="In place",4,""))))))</x:f>
        <x:v>2</x:v>
      </x:c>
      <x:c r="H9" s="93" t="str">
        <x:v>Mostly</x:v>
      </x:c>
      <x:c r="I9" s="102" t="n">
        <x:f>IF(H9="","",IF(H9="Not in place",0,IF(H9="Ad hoc",1,IF(H9="Partial",2,IF(H9="Mostly",3,IF(H9="In place",4,""))))))</x:f>
        <x:v>3</x:v>
      </x:c>
      <x:c r="J9" s="102" t="n">
        <x:f>IF(A9="","",IF(COUNT(G9,I9)=2,MAX(0,I9-G9),""))</x:f>
        <x:v>1</x:v>
      </x:c>
      <x:c r="K9" s="93" t="n">
        <x:v>3</x:v>
      </x:c>
      <x:c r="L9" s="102" t="n">
        <x:f>IF(A9="","",IF(COUNT(J9,K9)&lt;&gt;2,"",IF(AND(K9&gt;=1,K9&lt;=3,MOD(K9,1)=0),J9*K9,"")))</x:f>
        <x:v>3</x:v>
      </x:c>
      <x:c r="M9" s="102" t="str">
        <x:f>IF(A9="","",IF(ISNUMBER(L9),IF(L9=0,"No Gap",IF(L9&gt;=6,"High",IF(L9&gt;=3,"Medium","Low"))),"Not assessed"))</x:f>
        <x:v>Medium</x:v>
      </x:c>
      <x:c r="N9" s="93" t="str">
        <x:v>Operational security issues are reviewed, but reporting is not standardized.</x:v>
      </x:c>
      <x:c r="O9" s="93" t="str">
        <x:v>Management may not consistently see overdue remediation or accepted risk.</x:v>
      </x:c>
      <x:c r="P9" s="93" t="str">
        <x:v>Use a quarterly risk summary showing high risks, overdue actions, exceptions, and management decisions.</x:v>
      </x:c>
      <x:c r="Q9" s="93" t="str">
        <x:v>CISO</x:v>
      </x:c>
      <x:c r="R9" s="95" t="n">
        <x:v>46362</x:v>
      </x:c>
      <x:c r="S9" s="93" t="str">
        <x:v>Planned</x:v>
      </x:c>
      <x:c r="T9" s="93" t="str">
        <x:v>Operational reviews exist, supporting Partial (2). Consistent management reporting targets Mostly (3). Impact 3 reflects decisions about high exposure and overdue remediation.</x:v>
      </x:c>
      <x:c r="U9" s="93" t="str">
        <x:v>Scenario only</x:v>
      </x:c>
      <x:c r="V9" s="93" t="str">
        <x:v>Leadership risk reports, meeting notes, overdue-action reports and recorded decisions.</x:v>
      </x:c>
      <x:c r="W9" s="95" t="n">
        <x:v>46298</x:v>
      </x:c>
      <x:c r="X9" s="93"/>
      <x:c r="Y9" s="102" t="str">
        <x:f>IF(COUNTA(A9:F9,H9,K9,N9:X9,AA9:AB9)=0,"",IF(A9="","Missing ID",IF(COUNTIF($A$5:$A$64,A9)&gt;1,"Duplicate ID",IF(OR(B9="",C9="",D9="",E9="",N9="",O9="",P9=""),"Missing assessment context",IF(NOT(ISNUMBER(L9)),"Incomplete or invalid scores",IF(OR(Q9="",NOT(OR(S9="Open",S9="Planned",S9="In Progress",S9="Monitor",S9="Closed",S9="Accepted"))),"Missing owner or invalid status",IF(NOT(ISNUMBER(R9)),"Missing or invalid target date",IF(R9&lt;=0,"Missing or invalid target date",IF(COUNTIFS(Lists!$J$2:$J$23,C9,Lists!$K$2:$K$23,B9)=0,"Category/function mismatch",IF(AND(ISNUMBER(J9),J9&gt;0,S9="Monitor"),"Gap needs action","OK"))))))))))</x:f>
        <x:v>OK</x:v>
      </x:c>
      <x:c r="Z9" s="102" t="str">
        <x:f>IF(A9="","",IF(OR(T9="",NOT(OR(U9="Scenario only",U9="Evidence requested",U9="Evidence reviewed")),V9="",NOT(ISNUMBER(W9)),AA9="",AB9=""),"Add assessment support",IF(OR(W9&lt;=0,W9&gt;Methodology!$B$25),"Review date outside period",IF(AND(OR(S9="Closed",S9="Accepted"),OR(X9="",U9&lt;&gt;"Evidence reviewed")),"Closure review needed",IF(OR(S9="Closed",S9="Accepted"),"Decision recorded",IF(U9="Evidence reviewed","Evidence recorded","Scenario documented"))))))</x:f>
        <x:v>Scenario documented</x:v>
      </x:c>
      <x:c r="AA9" s="93" t="str">
        <x:v>R-022, R-030</x:v>
      </x:c>
      <x:c r="AB9" s="93" t="str">
        <x:v>Present current high risks and overdue actions to the accountable forum; record decisions and follow-up owners.</x:v>
      </x:c>
    </x:row>
    <x:row r="10" ht="92" customHeight="1">
      <x:c r="A10" s="93" t="str">
        <x:v>GA-006</x:v>
      </x:c>
      <x:c r="B10" s="93" t="str">
        <x:v>Govern</x:v>
      </x:c>
      <x:c r="C10" s="93" t="str">
        <x:v>GV.SC</x:v>
      </x:c>
      <x:c r="D10" s="93" t="str">
        <x:v>Cybersecurity Supply Chain Risk Management</x:v>
      </x:c>
      <x:c r="E10" s="93" t="str">
        <x:v>Are vendors inventoried, tiered, reviewed, and contractually governed based on cyber risk?</x:v>
      </x:c>
      <x:c r="F10" s="93" t="str">
        <x:v>Ad hoc</x:v>
      </x:c>
      <x:c r="G10" s="102" t="n">
        <x:f>IF(F10="","",IF(F10="Not in place",0,IF(F10="Ad hoc",1,IF(F10="Partial",2,IF(F10="Mostly",3,IF(F10="In place",4,""))))))</x:f>
        <x:v>1</x:v>
      </x:c>
      <x:c r="H10" s="93" t="str">
        <x:v>Mostly</x:v>
      </x:c>
      <x:c r="I10" s="102" t="n">
        <x:f>IF(H10="","",IF(H10="Not in place",0,IF(H10="Ad hoc",1,IF(H10="Partial",2,IF(H10="Mostly",3,IF(H10="In place",4,""))))))</x:f>
        <x:v>3</x:v>
      </x:c>
      <x:c r="J10" s="102" t="n">
        <x:f>IF(A10="","",IF(COUNT(G10,I10)=2,MAX(0,I10-G10),""))</x:f>
        <x:v>2</x:v>
      </x:c>
      <x:c r="K10" s="93" t="n">
        <x:v>3</x:v>
      </x:c>
      <x:c r="L10" s="102" t="n">
        <x:f>IF(A10="","",IF(COUNT(J10,K10)&lt;&gt;2,"",IF(AND(K10&gt;=1,K10&lt;=3,MOD(K10,1)=0),J10*K10,"")))</x:f>
        <x:v>6</x:v>
      </x:c>
      <x:c r="M10" s="102" t="str">
        <x:f>IF(A10="","",IF(ISNUMBER(L10),IF(L10=0,"No Gap",IF(L10&gt;=6,"High",IF(L10&gt;=3,"Medium","Low"))),"Not assessed"))</x:f>
        <x:v>High</x:v>
      </x:c>
      <x:c r="N10" s="93" t="str">
        <x:v>Procurement tracks vendors, but cyber due diligence and reassessment are inconsistent.</x:v>
      </x:c>
      <x:c r="O10" s="93" t="str">
        <x:v>High-risk suppliers may receive the same review as low-risk suppliers.</x:v>
      </x:c>
      <x:c r="P10" s="93" t="str">
        <x:v>Create vendor tiers and require security review, contract requirements, and periodic reassessment for higher-risk providers.</x:v>
      </x:c>
      <x:c r="Q10" s="93" t="str">
        <x:v>Vendor Manager</x:v>
      </x:c>
      <x:c r="R10" s="95" t="n">
        <x:v>46332</x:v>
      </x:c>
      <x:c r="S10" s="93" t="str">
        <x:v>In Progress</x:v>
      </x:c>
      <x:c r="T10" s="93" t="str">
        <x:v>Procurement records exist, but risk-based cyber review is inconsistent: Ad hoc (1). Tiered due diligence and reassessment target Mostly (3). Impact 3 reflects dependence on critical suppliers.</x:v>
      </x:c>
      <x:c r="U10" s="93" t="str">
        <x:v>Scenario only</x:v>
      </x:c>
      <x:c r="V10" s="93" t="str">
        <x:v>Vendor inventory, tiering criteria, security reviews, contracts and reassessment calendar.</x:v>
      </x:c>
      <x:c r="W10" s="95" t="n">
        <x:v>46298</x:v>
      </x:c>
      <x:c r="X10" s="93"/>
      <x:c r="Y10" s="102" t="str">
        <x:f>IF(COUNTA(A10:F10,H10,K10,N10:X10,AA10:AB10)=0,"",IF(A10="","Missing ID",IF(COUNTIF($A$5:$A$64,A10)&gt;1,"Duplicate ID",IF(OR(B10="",C10="",D10="",E10="",N10="",O10="",P10=""),"Missing assessment context",IF(NOT(ISNUMBER(L10)),"Incomplete or invalid scores",IF(OR(Q10="",NOT(OR(S10="Open",S10="Planned",S10="In Progress",S10="Monitor",S10="Closed",S10="Accepted"))),"Missing owner or invalid status",IF(NOT(ISNUMBER(R10)),"Missing or invalid target date",IF(R10&lt;=0,"Missing or invalid target date",IF(COUNTIFS(Lists!$J$2:$J$23,C10,Lists!$K$2:$K$23,B10)=0,"Category/function mismatch",IF(AND(ISNUMBER(J10),J10&gt;0,S10="Monitor"),"Gap needs action","OK"))))))))))</x:f>
        <x:v>OK</x:v>
      </x:c>
      <x:c r="Z10" s="102" t="str">
        <x:f>IF(A10="","",IF(OR(T10="",NOT(OR(U10="Scenario only",U10="Evidence requested",U10="Evidence reviewed")),V10="",NOT(ISNUMBER(W10)),AA10="",AB10=""),"Add assessment support",IF(OR(W10&lt;=0,W10&gt;Methodology!$B$25),"Review date outside period",IF(AND(OR(S10="Closed",S10="Accepted"),OR(X10="",U10&lt;&gt;"Evidence reviewed")),"Closure review needed",IF(OR(S10="Closed",S10="Accepted"),"Decision recorded",IF(U10="Evidence reviewed","Evidence recorded","Scenario documented"))))))</x:f>
        <x:v>Scenario documented</x:v>
      </x:c>
      <x:c r="AA10" s="93" t="str">
        <x:v>R-012, R-013, R-028</x:v>
      </x:c>
      <x:c r="AB10" s="93" t="str">
        <x:v>Sample critical vendors for tier, completed security review, tracked findings, notification obligations and next review date.</x:v>
      </x:c>
    </x:row>
    <x:row r="11" ht="92" customHeight="1">
      <x:c r="A11" s="93" t="str">
        <x:v>GA-007</x:v>
      </x:c>
      <x:c r="B11" s="93" t="str">
        <x:v>Identify</x:v>
      </x:c>
      <x:c r="C11" s="93" t="str">
        <x:v>ID.AM</x:v>
      </x:c>
      <x:c r="D11" s="93" t="str">
        <x:v>Asset Management</x:v>
      </x:c>
      <x:c r="E11" s="93" t="str">
        <x:v>Is the hardware inventory accurate enough to identify managed and unknown devices?</x:v>
      </x:c>
      <x:c r="F11" s="93" t="str">
        <x:v>Mostly</x:v>
      </x:c>
      <x:c r="G11" s="102" t="n">
        <x:f>IF(F11="","",IF(F11="Not in place",0,IF(F11="Ad hoc",1,IF(F11="Partial",2,IF(F11="Mostly",3,IF(F11="In place",4,""))))))</x:f>
        <x:v>3</x:v>
      </x:c>
      <x:c r="H11" s="93" t="str">
        <x:v>In place</x:v>
      </x:c>
      <x:c r="I11" s="102" t="n">
        <x:f>IF(H11="","",IF(H11="Not in place",0,IF(H11="Ad hoc",1,IF(H11="Partial",2,IF(H11="Mostly",3,IF(H11="In place",4,""))))))</x:f>
        <x:v>4</x:v>
      </x:c>
      <x:c r="J11" s="102" t="n">
        <x:f>IF(A11="","",IF(COUNT(G11,I11)=2,MAX(0,I11-G11),""))</x:f>
        <x:v>1</x:v>
      </x:c>
      <x:c r="K11" s="93" t="n">
        <x:v>2</x:v>
      </x:c>
      <x:c r="L11" s="102" t="n">
        <x:f>IF(A11="","",IF(COUNT(J11,K11)&lt;&gt;2,"",IF(AND(K11&gt;=1,K11&lt;=3,MOD(K11,1)=0),J11*K11,"")))</x:f>
        <x:v>2</x:v>
      </x:c>
      <x:c r="M11" s="102" t="str">
        <x:f>IF(A11="","",IF(ISNUMBER(L11),IF(L11=0,"No Gap",IF(L11&gt;=6,"High",IF(L11&gt;=3,"Medium","Low"))),"Not assessed"))</x:f>
        <x:v>Low</x:v>
      </x:c>
      <x:c r="N11" s="93" t="str">
        <x:v>Endpoint management and network records cover most corporate devices.</x:v>
      </x:c>
      <x:c r="O11" s="93" t="str">
        <x:v>Unknown devices still require manual reconciliation.</x:v>
      </x:c>
      <x:c r="P11" s="93" t="str">
        <x:v>Automate a recurring reconciliation process for inventory exceptions.</x:v>
      </x:c>
      <x:c r="Q11" s="93" t="str">
        <x:v>IT Manager</x:v>
      </x:c>
      <x:c r="R11" s="95" t="n">
        <x:v>46392</x:v>
      </x:c>
      <x:c r="S11" s="93" t="str">
        <x:v>Planned</x:v>
      </x:c>
      <x:c r="T11" s="93" t="str">
        <x:v>Most managed devices are inventoried, supporting Mostly (3). Reconciled discovery with investigated exceptions targets In place (4). Impact 2 reflects unmanaged-device exposure and operational blind spots.</x:v>
      </x:c>
      <x:c r="U11" s="93" t="str">
        <x:v>Scenario only</x:v>
      </x:c>
      <x:c r="V11" s="93" t="str">
        <x:v>Endpoint inventory, network discovery, device owners and exception tickets.</x:v>
      </x:c>
      <x:c r="W11" s="95" t="n">
        <x:v>46298</x:v>
      </x:c>
      <x:c r="X11" s="93"/>
      <x:c r="Y11" s="102" t="str">
        <x:f>IF(COUNTA(A11:F11,H11,K11,N11:X11,AA11:AB11)=0,"",IF(A11="","Missing ID",IF(COUNTIF($A$5:$A$64,A11)&gt;1,"Duplicate ID",IF(OR(B11="",C11="",D11="",E11="",N11="",O11="",P11=""),"Missing assessment context",IF(NOT(ISNUMBER(L11)),"Incomplete or invalid scores",IF(OR(Q11="",NOT(OR(S11="Open",S11="Planned",S11="In Progress",S11="Monitor",S11="Closed",S11="Accepted"))),"Missing owner or invalid status",IF(NOT(ISNUMBER(R11)),"Missing or invalid target date",IF(R11&lt;=0,"Missing or invalid target date",IF(COUNTIFS(Lists!$J$2:$J$23,C11,Lists!$K$2:$K$23,B11)=0,"Category/function mismatch",IF(AND(ISNUMBER(J11),J11&gt;0,S11="Monitor"),"Gap needs action","OK"))))))))))</x:f>
        <x:v>OK</x:v>
      </x:c>
      <x:c r="Z11" s="102" t="str">
        <x:f>IF(A11="","",IF(OR(T11="",NOT(OR(U11="Scenario only",U11="Evidence requested",U11="Evidence reviewed")),V11="",NOT(ISNUMBER(W11)),AA11="",AB11=""),"Add assessment support",IF(OR(W11&lt;=0,W11&gt;Methodology!$B$25),"Review date outside period",IF(AND(OR(S11="Closed",S11="Accepted"),OR(X11="",U11&lt;&gt;"Evidence reviewed")),"Closure review needed",IF(OR(S11="Closed",S11="Accepted"),"Decision recorded",IF(U11="Evidence reviewed","Evidence recorded","Scenario documented"))))))</x:f>
        <x:v>Scenario documented</x:v>
      </x:c>
      <x:c r="AA11" s="93" t="str">
        <x:v>R-020</x:v>
      </x:c>
      <x:c r="AB11" s="93" t="str">
        <x:v>Reconcile discovery against managed inventory; investigate unmatched devices and retain the reconciliation record.</x:v>
      </x:c>
    </x:row>
    <x:row r="12" ht="92" customHeight="1">
      <x:c r="A12" s="93" t="str">
        <x:v>GA-008</x:v>
      </x:c>
      <x:c r="B12" s="93" t="str">
        <x:v>Identify</x:v>
      </x:c>
      <x:c r="C12" s="93" t="str">
        <x:v>ID.AM</x:v>
      </x:c>
      <x:c r="D12" s="93" t="str">
        <x:v>Asset Management</x:v>
      </x:c>
      <x:c r="E12" s="93" t="str">
        <x:v>Are software, SaaS services, owners, versions, and end-of-life dates tracked?</x:v>
      </x:c>
      <x:c r="F12" s="93" t="str">
        <x:v>Partial</x:v>
      </x:c>
      <x:c r="G12" s="102" t="n">
        <x:f>IF(F12="","",IF(F12="Not in place",0,IF(F12="Ad hoc",1,IF(F12="Partial",2,IF(F12="Mostly",3,IF(F12="In place",4,""))))))</x:f>
        <x:v>2</x:v>
      </x:c>
      <x:c r="H12" s="93" t="str">
        <x:v>Mostly</x:v>
      </x:c>
      <x:c r="I12" s="102" t="n">
        <x:f>IF(H12="","",IF(H12="Not in place",0,IF(H12="Ad hoc",1,IF(H12="Partial",2,IF(H12="Mostly",3,IF(H12="In place",4,""))))))</x:f>
        <x:v>3</x:v>
      </x:c>
      <x:c r="J12" s="102" t="n">
        <x:f>IF(A12="","",IF(COUNT(G12,I12)=2,MAX(0,I12-G12),""))</x:f>
        <x:v>1</x:v>
      </x:c>
      <x:c r="K12" s="93" t="n">
        <x:v>2</x:v>
      </x:c>
      <x:c r="L12" s="102" t="n">
        <x:f>IF(A12="","",IF(COUNT(J12,K12)&lt;&gt;2,"",IF(AND(K12&gt;=1,K12&lt;=3,MOD(K12,1)=0),J12*K12,"")))</x:f>
        <x:v>2</x:v>
      </x:c>
      <x:c r="M12" s="102" t="str">
        <x:f>IF(A12="","",IF(ISNUMBER(L12),IF(L12=0,"No Gap",IF(L12&gt;=6,"High",IF(L12&gt;=3,"Medium","Low"))),"Not assessed"))</x:f>
        <x:v>Low</x:v>
      </x:c>
      <x:c r="N12" s="93" t="str">
        <x:v>Managed endpoints provide software data; SaaS and software lifecycle records are incomplete.</x:v>
      </x:c>
      <x:c r="O12" s="93" t="str">
        <x:v>Shadow SaaS and unsupported software may not be visible to security processes.</x:v>
      </x:c>
      <x:c r="P12" s="93" t="str">
        <x:v>Create a combined software/SaaS inventory with owner, approval status, and EOL fields.</x:v>
      </x:c>
      <x:c r="Q12" s="93" t="str">
        <x:v>IT Manager</x:v>
      </x:c>
      <x:c r="R12" s="95" t="n">
        <x:v>46362</x:v>
      </x:c>
      <x:c r="S12" s="93" t="str">
        <x:v>Planned</x:v>
      </x:c>
      <x:c r="T12" s="93" t="str">
        <x:v>Endpoint software data exists but SaaS and lifecycle coverage are incomplete: Partial (2). A maintained combined inventory targets Mostly (3). Impact 2 reflects unapproved services and unsupported software.</x:v>
      </x:c>
      <x:c r="U12" s="93" t="str">
        <x:v>Scenario only</x:v>
      </x:c>
      <x:c r="V12" s="93" t="str">
        <x:v>Software/SaaS inventories, procurement and SSO records, owners and support dates.</x:v>
      </x:c>
      <x:c r="W12" s="95" t="n">
        <x:v>46298</x:v>
      </x:c>
      <x:c r="X12" s="93"/>
      <x:c r="Y12" s="102" t="str">
        <x:f>IF(COUNTA(A12:F12,H12,K12,N12:X12,AA12:AB12)=0,"",IF(A12="","Missing ID",IF(COUNTIF($A$5:$A$64,A12)&gt;1,"Duplicate ID",IF(OR(B12="",C12="",D12="",E12="",N12="",O12="",P12=""),"Missing assessment context",IF(NOT(ISNUMBER(L12)),"Incomplete or invalid scores",IF(OR(Q12="",NOT(OR(S12="Open",S12="Planned",S12="In Progress",S12="Monitor",S12="Closed",S12="Accepted"))),"Missing owner or invalid status",IF(NOT(ISNUMBER(R12)),"Missing or invalid target date",IF(R12&lt;=0,"Missing or invalid target date",IF(COUNTIFS(Lists!$J$2:$J$23,C12,Lists!$K$2:$K$23,B12)=0,"Category/function mismatch",IF(AND(ISNUMBER(J12),J12&gt;0,S12="Monitor"),"Gap needs action","OK"))))))))))</x:f>
        <x:v>OK</x:v>
      </x:c>
      <x:c r="Z12" s="102" t="str">
        <x:f>IF(A12="","",IF(OR(T12="",NOT(OR(U12="Scenario only",U12="Evidence requested",U12="Evidence reviewed")),V12="",NOT(ISNUMBER(W12)),AA12="",AB12=""),"Add assessment support",IF(OR(W12&lt;=0,W12&gt;Methodology!$B$25),"Review date outside period",IF(AND(OR(S12="Closed",S12="Accepted"),OR(X12="",U12&lt;&gt;"Evidence reviewed")),"Closure review needed",IF(OR(S12="Closed",S12="Accepted"),"Decision recorded",IF(U12="Evidence reviewed","Evidence recorded","Scenario documented"))))))</x:f>
        <x:v>Scenario documented</x:v>
      </x:c>
      <x:c r="AA12" s="93" t="str">
        <x:v>R-013, R-025</x:v>
      </x:c>
      <x:c r="AB12" s="93" t="str">
        <x:v>Reconcile inventories and assign owners; identify unsupported versions and unapproved SaaS with remediation or exceptions.</x:v>
      </x:c>
    </x:row>
    <x:row r="13" ht="92" customHeight="1">
      <x:c r="A13" s="93" t="str">
        <x:v>GA-009</x:v>
      </x:c>
      <x:c r="B13" s="93" t="str">
        <x:v>Identify</x:v>
      </x:c>
      <x:c r="C13" s="93" t="str">
        <x:v>ID.RA</x:v>
      </x:c>
      <x:c r="D13" s="93" t="str">
        <x:v>Risk Assessment</x:v>
      </x:c>
      <x:c r="E13" s="93" t="str">
        <x:v>Is enterprise cybersecurity risk assessed and reviewed on a recurring cadence?</x:v>
      </x:c>
      <x:c r="F13" s="93" t="str">
        <x:v>Partial</x:v>
      </x:c>
      <x:c r="G13" s="102" t="n">
        <x:f>IF(F13="","",IF(F13="Not in place",0,IF(F13="Ad hoc",1,IF(F13="Partial",2,IF(F13="Mostly",3,IF(F13="In place",4,""))))))</x:f>
        <x:v>2</x:v>
      </x:c>
      <x:c r="H13" s="93" t="str">
        <x:v>Mostly</x:v>
      </x:c>
      <x:c r="I13" s="102" t="n">
        <x:f>IF(H13="","",IF(H13="Not in place",0,IF(H13="Ad hoc",1,IF(H13="Partial",2,IF(H13="Mostly",3,IF(H13="In place",4,""))))))</x:f>
        <x:v>3</x:v>
      </x:c>
      <x:c r="J13" s="102" t="n">
        <x:f>IF(A13="","",IF(COUNT(G13,I13)=2,MAX(0,I13-G13),""))</x:f>
        <x:v>1</x:v>
      </x:c>
      <x:c r="K13" s="93" t="n">
        <x:v>3</x:v>
      </x:c>
      <x:c r="L13" s="102" t="n">
        <x:f>IF(A13="","",IF(COUNT(J13,K13)&lt;&gt;2,"",IF(AND(K13&gt;=1,K13&lt;=3,MOD(K13,1)=0),J13*K13,"")))</x:f>
        <x:v>3</x:v>
      </x:c>
      <x:c r="M13" s="102" t="str">
        <x:f>IF(A13="","",IF(ISNUMBER(L13),IF(L13=0,"No Gap",IF(L13&gt;=6,"High",IF(L13&gt;=3,"Medium","Low"))),"Not assessed"))</x:f>
        <x:v>Medium</x:v>
      </x:c>
      <x:c r="N13" s="93" t="str">
        <x:v>A structured risk register has been created, but recurring review is new.</x:v>
      </x:c>
      <x:c r="O13" s="93" t="str">
        <x:v>Risk information could become stale as systems and threats change.</x:v>
      </x:c>
      <x:c r="P13" s="93" t="str">
        <x:v>Set quarterly register reviews and an annual broader cyber-risk assessment.</x:v>
      </x:c>
      <x:c r="Q13" s="93" t="str">
        <x:v>CISO</x:v>
      </x:c>
      <x:c r="R13" s="95" t="n">
        <x:v>46332</x:v>
      </x:c>
      <x:c r="S13" s="93" t="str">
        <x:v>In Progress</x:v>
      </x:c>
      <x:c r="T13" s="93" t="str">
        <x:v>A register exists but recurring review is new, supporting Partial (2). A scheduled, documented review cycle targets Mostly (3). Impact 3 reflects stale decisions as exposure changes.</x:v>
      </x:c>
      <x:c r="U13" s="93" t="str">
        <x:v>Scenario only</x:v>
      </x:c>
      <x:c r="V13" s="93" t="str">
        <x:v>Risk register versions, review calendar, decision log and ownership records.</x:v>
      </x:c>
      <x:c r="W13" s="95" t="n">
        <x:v>46298</x:v>
      </x:c>
      <x:c r="X13" s="93"/>
      <x:c r="Y13" s="102" t="str">
        <x:f>IF(COUNTA(A13:F13,H13,K13,N13:X13,AA13:AB13)=0,"",IF(A13="","Missing ID",IF(COUNTIF($A$5:$A$64,A13)&gt;1,"Duplicate ID",IF(OR(B13="",C13="",D13="",E13="",N13="",O13="",P13=""),"Missing assessment context",IF(NOT(ISNUMBER(L13)),"Incomplete or invalid scores",IF(OR(Q13="",NOT(OR(S13="Open",S13="Planned",S13="In Progress",S13="Monitor",S13="Closed",S13="Accepted"))),"Missing owner or invalid status",IF(NOT(ISNUMBER(R13)),"Missing or invalid target date",IF(R13&lt;=0,"Missing or invalid target date",IF(COUNTIFS(Lists!$J$2:$J$23,C13,Lists!$K$2:$K$23,B13)=0,"Category/function mismatch",IF(AND(ISNUMBER(J13),J13&gt;0,S13="Monitor"),"Gap needs action","OK"))))))))))</x:f>
        <x:v>OK</x:v>
      </x:c>
      <x:c r="Z13" s="102" t="str">
        <x:f>IF(A13="","",IF(OR(T13="",NOT(OR(U13="Scenario only",U13="Evidence requested",U13="Evidence reviewed")),V13="",NOT(ISNUMBER(W13)),AA13="",AB13=""),"Add assessment support",IF(OR(W13&lt;=0,W13&gt;Methodology!$B$25),"Review date outside period",IF(AND(OR(S13="Closed",S13="Accepted"),OR(X13="",U13&lt;&gt;"Evidence reviewed")),"Closure review needed",IF(OR(S13="Closed",S13="Accepted"),"Decision recorded",IF(U13="Evidence reviewed","Evidence recorded","Scenario documented"))))))</x:f>
        <x:v>Scenario documented</x:v>
      </x:c>
      <x:c r="AA13" s="93" t="str">
        <x:v>R-022</x:v>
      </x:c>
      <x:c r="AB13" s="93" t="str">
        <x:v>Complete a review cycle and show changes to assumptions, ownership and treatment decisions for material risks.</x:v>
      </x:c>
    </x:row>
    <x:row r="14" ht="92" customHeight="1">
      <x:c r="A14" s="93" t="str">
        <x:v>GA-010</x:v>
      </x:c>
      <x:c r="B14" s="93" t="str">
        <x:v>Identify</x:v>
      </x:c>
      <x:c r="C14" s="93" t="str">
        <x:v>ID.RA</x:v>
      </x:c>
      <x:c r="D14" s="93" t="str">
        <x:v>Risk Assessment</x:v>
      </x:c>
      <x:c r="E14" s="93" t="str">
        <x:v>Are vulnerabilities prioritized using severity, exposure, asset importance, and threat context?</x:v>
      </x:c>
      <x:c r="F14" s="93" t="str">
        <x:v>Partial</x:v>
      </x:c>
      <x:c r="G14" s="102" t="n">
        <x:f>IF(F14="","",IF(F14="Not in place",0,IF(F14="Ad hoc",1,IF(F14="Partial",2,IF(F14="Mostly",3,IF(F14="In place",4,""))))))</x:f>
        <x:v>2</x:v>
      </x:c>
      <x:c r="H14" s="93" t="str">
        <x:v>In place</x:v>
      </x:c>
      <x:c r="I14" s="102" t="n">
        <x:f>IF(H14="","",IF(H14="Not in place",0,IF(H14="Ad hoc",1,IF(H14="Partial",2,IF(H14="Mostly",3,IF(H14="In place",4,""))))))</x:f>
        <x:v>4</x:v>
      </x:c>
      <x:c r="J14" s="102" t="n">
        <x:f>IF(A14="","",IF(COUNT(G14,I14)=2,MAX(0,I14-G14),""))</x:f>
        <x:v>2</x:v>
      </x:c>
      <x:c r="K14" s="93" t="n">
        <x:v>3</x:v>
      </x:c>
      <x:c r="L14" s="102" t="n">
        <x:f>IF(A14="","",IF(COUNT(J14,K14)&lt;&gt;2,"",IF(AND(K14&gt;=1,K14&lt;=3,MOD(K14,1)=0),J14*K14,"")))</x:f>
        <x:v>6</x:v>
      </x:c>
      <x:c r="M14" s="102" t="str">
        <x:f>IF(A14="","",IF(ISNUMBER(L14),IF(L14=0,"No Gap",IF(L14&gt;=6,"High",IF(L14&gt;=3,"Medium","Low"))),"Not assessed"))</x:f>
        <x:v>High</x:v>
      </x:c>
      <x:c r="N14" s="93" t="str">
        <x:v>Patching occurs, but formal vulnerability SLAs and exception tracking are incomplete.</x:v>
      </x:c>
      <x:c r="O14" s="93" t="str">
        <x:v>Critical internet-facing vulnerabilities may remain open too long.</x:v>
      </x:c>
      <x:c r="P14" s="93" t="str">
        <x:v>Define scanning cadence, severity/exposure SLAs, and exception approval.</x:v>
      </x:c>
      <x:c r="Q14" s="93" t="str">
        <x:v>Security Manager</x:v>
      </x:c>
      <x:c r="R14" s="95" t="n">
        <x:v>46317</x:v>
      </x:c>
      <x:c r="S14" s="93" t="str">
        <x:v>In Progress</x:v>
      </x:c>
      <x:c r="T14" s="93" t="str">
        <x:v>Patching occurs but exposure-based prioritization is incomplete: Partial (2). Repeatable triage and exception decisions target In place (4). Impact 3 reflects exploitable production weaknesses.</x:v>
      </x:c>
      <x:c r="U14" s="93" t="str">
        <x:v>Scenario only</x:v>
      </x:c>
      <x:c r="V14" s="93" t="str">
        <x:v>Scan results, asset criticality, internet exposure, threat context, remediation SLAs and exceptions.</x:v>
      </x:c>
      <x:c r="W14" s="95" t="n">
        <x:v>46298</x:v>
      </x:c>
      <x:c r="X14" s="93"/>
      <x:c r="Y14" s="102" t="str">
        <x:f>IF(COUNTA(A14:F14,H14,K14,N14:X14,AA14:AB14)=0,"",IF(A14="","Missing ID",IF(COUNTIF($A$5:$A$64,A14)&gt;1,"Duplicate ID",IF(OR(B14="",C14="",D14="",E14="",N14="",O14="",P14=""),"Missing assessment context",IF(NOT(ISNUMBER(L14)),"Incomplete or invalid scores",IF(OR(Q14="",NOT(OR(S14="Open",S14="Planned",S14="In Progress",S14="Monitor",S14="Closed",S14="Accepted"))),"Missing owner or invalid status",IF(NOT(ISNUMBER(R14)),"Missing or invalid target date",IF(R14&lt;=0,"Missing or invalid target date",IF(COUNTIFS(Lists!$J$2:$J$23,C14,Lists!$K$2:$K$23,B14)=0,"Category/function mismatch",IF(AND(ISNUMBER(J14),J14&gt;0,S14="Monitor"),"Gap needs action","OK"))))))))))</x:f>
        <x:v>OK</x:v>
      </x:c>
      <x:c r="Z14" s="102" t="str">
        <x:f>IF(A14="","",IF(OR(T14="",NOT(OR(U14="Scenario only",U14="Evidence requested",U14="Evidence reviewed")),V14="",NOT(ISNUMBER(W14)),AA14="",AB14=""),"Add assessment support",IF(OR(W14&lt;=0,W14&gt;Methodology!$B$25),"Review date outside period",IF(AND(OR(S14="Closed",S14="Accepted"),OR(X14="",U14&lt;&gt;"Evidence reviewed")),"Closure review needed",IF(OR(S14="Closed",S14="Accepted"),"Decision recorded",IF(U14="Evidence reviewed","Evidence recorded","Scenario documented"))))))</x:f>
        <x:v>Scenario documented</x:v>
      </x:c>
      <x:c r="AA14" s="93" t="str">
        <x:v>R-008, R-025</x:v>
      </x:c>
      <x:c r="AB14" s="93" t="str">
        <x:v>Sample high-risk vulnerabilities and trace prioritization through remediation and independent rescan evidence.</x:v>
      </x:c>
    </x:row>
    <x:row r="15" ht="92" customHeight="1">
      <x:c r="A15" s="93" t="str">
        <x:v>GA-011</x:v>
      </x:c>
      <x:c r="B15" s="93" t="str">
        <x:v>Identify</x:v>
      </x:c>
      <x:c r="C15" s="93" t="str">
        <x:v>ID.IM</x:v>
      </x:c>
      <x:c r="D15" s="93" t="str">
        <x:v>Improvement</x:v>
      </x:c>
      <x:c r="E15" s="93" t="str">
        <x:v>Are lessons from incidents, exercises, and assessments captured and tracked to completion?</x:v>
      </x:c>
      <x:c r="F15" s="93" t="str">
        <x:v>Mostly</x:v>
      </x:c>
      <x:c r="G15" s="102" t="n">
        <x:f>IF(F15="","",IF(F15="Not in place",0,IF(F15="Ad hoc",1,IF(F15="Partial",2,IF(F15="Mostly",3,IF(F15="In place",4,""))))))</x:f>
        <x:v>3</x:v>
      </x:c>
      <x:c r="H15" s="93" t="str">
        <x:v>Mostly</x:v>
      </x:c>
      <x:c r="I15" s="102" t="n">
        <x:f>IF(H15="","",IF(H15="Not in place",0,IF(H15="Ad hoc",1,IF(H15="Partial",2,IF(H15="Mostly",3,IF(H15="In place",4,""))))))</x:f>
        <x:v>3</x:v>
      </x:c>
      <x:c r="J15" s="102" t="n">
        <x:f>IF(A15="","",IF(COUNT(G15,I15)=2,MAX(0,I15-G15),""))</x:f>
        <x:v>0</x:v>
      </x:c>
      <x:c r="K15" s="93" t="n">
        <x:v>1</x:v>
      </x:c>
      <x:c r="L15" s="102" t="n">
        <x:f>IF(A15="","",IF(COUNT(J15,K15)&lt;&gt;2,"",IF(AND(K15&gt;=1,K15&lt;=3,MOD(K15,1)=0),J15*K15,"")))</x:f>
        <x:v>0</x:v>
      </x:c>
      <x:c r="M15" s="102" t="str">
        <x:f>IF(A15="","",IF(ISNUMBER(L15),IF(L15=0,"No Gap",IF(L15&gt;=6,"High",IF(L15&gt;=3,"Medium","Low"))),"Not assessed"))</x:f>
        <x:v>No Gap</x:v>
      </x:c>
      <x:c r="N15" s="93" t="str">
        <x:v>Teams capture corrective actions in project or incident notes and generally follow them.</x:v>
      </x:c>
      <x:c r="O15" s="93" t="str">
        <x:v>No material gap noted for the simulated scope; process could be more centralized later.</x:v>
      </x:c>
      <x:c r="P15" s="93" t="str">
        <x:v>Maintain the current practice and periodically verify that corrective actions close.</x:v>
      </x:c>
      <x:c r="Q15" s="93" t="str">
        <x:v>Security Manager</x:v>
      </x:c>
      <x:c r="R15" s="95" t="n">
        <x:v>46452</x:v>
      </x:c>
      <x:c r="S15" s="93" t="str">
        <x:v>Monitor</x:v>
      </x:c>
      <x:c r="T15" s="93" t="str">
        <x:v>Teams already capture and follow corrective actions, supporting Mostly (3), which matches the target. Impact 1 reflects incremental process improvement within this narrow scope; no gap does not prove perfect performance.</x:v>
      </x:c>
      <x:c r="U15" s="93" t="str">
        <x:v>Scenario only</x:v>
      </x:c>
      <x:c r="V15" s="93" t="str">
        <x:v>Incident/project action lists, owners, deadlines and completion records.</x:v>
      </x:c>
      <x:c r="W15" s="95" t="n">
        <x:v>46298</x:v>
      </x:c>
      <x:c r="X15" s="93"/>
      <x:c r="Y15" s="102" t="str">
        <x:f>IF(COUNTA(A15:F15,H15,K15,N15:X15,AA15:AB15)=0,"",IF(A15="","Missing ID",IF(COUNTIF($A$5:$A$64,A15)&gt;1,"Duplicate ID",IF(OR(B15="",C15="",D15="",E15="",N15="",O15="",P15=""),"Missing assessment context",IF(NOT(ISNUMBER(L15)),"Incomplete or invalid scores",IF(OR(Q15="",NOT(OR(S15="Open",S15="Planned",S15="In Progress",S15="Monitor",S15="Closed",S15="Accepted"))),"Missing owner or invalid status",IF(NOT(ISNUMBER(R15)),"Missing or invalid target date",IF(R15&lt;=0,"Missing or invalid target date",IF(COUNTIFS(Lists!$J$2:$J$23,C15,Lists!$K$2:$K$23,B15)=0,"Category/function mismatch",IF(AND(ISNUMBER(J15),J15&gt;0,S15="Monitor"),"Gap needs action","OK"))))))))))</x:f>
        <x:v>OK</x:v>
      </x:c>
      <x:c r="Z15" s="102" t="str">
        <x:f>IF(A15="","",IF(OR(T15="",NOT(OR(U15="Scenario only",U15="Evidence requested",U15="Evidence reviewed")),V15="",NOT(ISNUMBER(W15)),AA15="",AB15=""),"Add assessment support",IF(OR(W15&lt;=0,W15&gt;Methodology!$B$25),"Review date outside period",IF(AND(OR(S15="Closed",S15="Accepted"),OR(X15="",U15&lt;&gt;"Evidence reviewed")),"Closure review needed",IF(OR(S15="Closed",S15="Accepted"),"Decision recorded",IF(U15="Evidence reviewed","Evidence recorded","Scenario documented"))))))</x:f>
        <x:v>Scenario documented</x:v>
      </x:c>
      <x:c r="AA15" s="93" t="str">
        <x:v>None - program-level improvement</x:v>
      </x:c>
      <x:c r="AB15" s="93" t="str">
        <x:v>Sample corrective actions for accountable owners and completion evidence; retain the practice and reassess if follow-up deteriorates.</x:v>
      </x:c>
    </x:row>
    <x:row r="16" ht="92" customHeight="1">
      <x:c r="A16" s="93" t="str">
        <x:v>GA-012</x:v>
      </x:c>
      <x:c r="B16" s="93" t="str">
        <x:v>Protect</x:v>
      </x:c>
      <x:c r="C16" s="93" t="str">
        <x:v>PR.AA</x:v>
      </x:c>
      <x:c r="D16" s="93" t="str">
        <x:v>Identity Management, Authentication, and Access Control</x:v>
      </x:c>
      <x:c r="E16" s="93" t="str">
        <x:v>Is strong MFA enforced for privileged or high-risk access?</x:v>
      </x:c>
      <x:c r="F16" s="93" t="str">
        <x:v>Mostly</x:v>
      </x:c>
      <x:c r="G16" s="102" t="n">
        <x:f>IF(F16="","",IF(F16="Not in place",0,IF(F16="Ad hoc",1,IF(F16="Partial",2,IF(F16="Mostly",3,IF(F16="In place",4,""))))))</x:f>
        <x:v>3</x:v>
      </x:c>
      <x:c r="H16" s="93" t="str">
        <x:v>In place</x:v>
      </x:c>
      <x:c r="I16" s="102" t="n">
        <x:f>IF(H16="","",IF(H16="Not in place",0,IF(H16="Ad hoc",1,IF(H16="Partial",2,IF(H16="Mostly",3,IF(H16="In place",4,""))))))</x:f>
        <x:v>4</x:v>
      </x:c>
      <x:c r="J16" s="102" t="n">
        <x:f>IF(A16="","",IF(COUNT(G16,I16)=2,MAX(0,I16-G16),""))</x:f>
        <x:v>1</x:v>
      </x:c>
      <x:c r="K16" s="93" t="n">
        <x:v>3</x:v>
      </x:c>
      <x:c r="L16" s="102" t="n">
        <x:f>IF(A16="","",IF(COUNT(J16,K16)&lt;&gt;2,"",IF(AND(K16&gt;=1,K16&lt;=3,MOD(K16,1)=0),J16*K16,"")))</x:f>
        <x:v>3</x:v>
      </x:c>
      <x:c r="M16" s="102" t="str">
        <x:f>IF(A16="","",IF(ISNUMBER(L16),IF(L16=0,"No Gap",IF(L16&gt;=6,"High",IF(L16&gt;=3,"Medium","Low"))),"Not assessed"))</x:f>
        <x:v>Medium</x:v>
      </x:c>
      <x:c r="N16" s="93" t="str">
        <x:v>Standard MFA is broadly used; phishing-resistant MFA for privileged roles is still being rolled out.</x:v>
      </x:c>
      <x:c r="O16" s="93" t="str">
        <x:v>Privileged access remains more exposed to phishing than the target state allows.</x:v>
      </x:c>
      <x:c r="P16" s="93" t="str">
        <x:v>Complete phishing-resistant MFA rollout for privileged roles and validate coverage.</x:v>
      </x:c>
      <x:c r="Q16" s="93" t="str">
        <x:v>IT Manager</x:v>
      </x:c>
      <x:c r="R16" s="95" t="n">
        <x:v>46302</x:v>
      </x:c>
      <x:c r="S16" s="93" t="str">
        <x:v>In Progress</x:v>
      </x:c>
      <x:c r="T16" s="93" t="str">
        <x:v>Standard MFA has broad coverage, supporting Mostly (3). Enforced phishing-resistant MFA for all privileged access targets In place (4). Impact 3 reflects administrator compromise.</x:v>
      </x:c>
      <x:c r="U16" s="93" t="str">
        <x:v>Scenario only</x:v>
      </x:c>
      <x:c r="V16" s="93" t="str">
        <x:v>Privileged account inventory, authentication policies, exception records and sign-in tests.</x:v>
      </x:c>
      <x:c r="W16" s="95" t="n">
        <x:v>46298</x:v>
      </x:c>
      <x:c r="X16" s="93"/>
      <x:c r="Y16" s="102" t="str">
        <x:f>IF(COUNTA(A16:F16,H16,K16,N16:X16,AA16:AB16)=0,"",IF(A16="","Missing ID",IF(COUNTIF($A$5:$A$64,A16)&gt;1,"Duplicate ID",IF(OR(B16="",C16="",D16="",E16="",N16="",O16="",P16=""),"Missing assessment context",IF(NOT(ISNUMBER(L16)),"Incomplete or invalid scores",IF(OR(Q16="",NOT(OR(S16="Open",S16="Planned",S16="In Progress",S16="Monitor",S16="Closed",S16="Accepted"))),"Missing owner or invalid status",IF(NOT(ISNUMBER(R16)),"Missing or invalid target date",IF(R16&lt;=0,"Missing or invalid target date",IF(COUNTIFS(Lists!$J$2:$J$23,C16,Lists!$K$2:$K$23,B16)=0,"Category/function mismatch",IF(AND(ISNUMBER(J16),J16&gt;0,S16="Monitor"),"Gap needs action","OK"))))))))))</x:f>
        <x:v>OK</x:v>
      </x:c>
      <x:c r="Z16" s="102" t="str">
        <x:f>IF(A16="","",IF(OR(T16="",NOT(OR(U16="Scenario only",U16="Evidence requested",U16="Evidence reviewed")),V16="",NOT(ISNUMBER(W16)),AA16="",AB16=""),"Add assessment support",IF(OR(W16&lt;=0,W16&gt;Methodology!$B$25),"Review date outside period",IF(AND(OR(S16="Closed",S16="Accepted"),OR(X16="",U16&lt;&gt;"Evidence reviewed")),"Closure review needed",IF(OR(S16="Closed",S16="Accepted"),"Decision recorded",IF(U16="Evidence reviewed","Evidence recorded","Scenario documented"))))))</x:f>
        <x:v>Scenario documented</x:v>
      </x:c>
      <x:c r="AA16" s="93" t="str">
        <x:v>R-001, R-027</x:v>
      </x:c>
      <x:c r="AB16" s="93" t="str">
        <x:v>Reconcile privileged accounts to policy enforcement and test blocked noncompliant authentication, including recovery exceptions.</x:v>
      </x:c>
    </x:row>
    <x:row r="17" ht="92" customHeight="1">
      <x:c r="A17" s="93" t="str">
        <x:v>GA-013</x:v>
      </x:c>
      <x:c r="B17" s="93" t="str">
        <x:v>Protect</x:v>
      </x:c>
      <x:c r="C17" s="93" t="str">
        <x:v>PR.AA</x:v>
      </x:c>
      <x:c r="D17" s="93" t="str">
        <x:v>Identity Management, Authentication, and Access Control</x:v>
      </x:c>
      <x:c r="E17" s="93" t="str">
        <x:v>Are joiner-mover-leaver and periodic access-review processes consistent?</x:v>
      </x:c>
      <x:c r="F17" s="93" t="str">
        <x:v>Partial</x:v>
      </x:c>
      <x:c r="G17" s="102" t="n">
        <x:f>IF(F17="","",IF(F17="Not in place",0,IF(F17="Ad hoc",1,IF(F17="Partial",2,IF(F17="Mostly",3,IF(F17="In place",4,""))))))</x:f>
        <x:v>2</x:v>
      </x:c>
      <x:c r="H17" s="93" t="str">
        <x:v>In place</x:v>
      </x:c>
      <x:c r="I17" s="102" t="n">
        <x:f>IF(H17="","",IF(H17="Not in place",0,IF(H17="Ad hoc",1,IF(H17="Partial",2,IF(H17="Mostly",3,IF(H17="In place",4,""))))))</x:f>
        <x:v>4</x:v>
      </x:c>
      <x:c r="J17" s="102" t="n">
        <x:f>IF(A17="","",IF(COUNT(G17,I17)=2,MAX(0,I17-G17),""))</x:f>
        <x:v>2</x:v>
      </x:c>
      <x:c r="K17" s="93" t="n">
        <x:v>3</x:v>
      </x:c>
      <x:c r="L17" s="102" t="n">
        <x:f>IF(A17="","",IF(COUNT(J17,K17)&lt;&gt;2,"",IF(AND(K17&gt;=1,K17&lt;=3,MOD(K17,1)=0),J17*K17,"")))</x:f>
        <x:v>6</x:v>
      </x:c>
      <x:c r="M17" s="102" t="str">
        <x:f>IF(A17="","",IF(ISNUMBER(L17),IF(L17=0,"No Gap",IF(L17&gt;=6,"High",IF(L17&gt;=3,"Medium","Low"))),"Not assessed"))</x:f>
        <x:v>High</x:v>
      </x:c>
      <x:c r="N17" s="93" t="str">
        <x:v>HR and IT coordinate account changes manually; access reviews are limited.</x:v>
      </x:c>
      <x:c r="O17" s="93" t="str">
        <x:v>Former or overprivileged accounts could persist beyond business need.</x:v>
      </x:c>
      <x:c r="P17" s="93" t="str">
        <x:v>Formalize identity lifecycle and quarterly privileged-access reviews.</x:v>
      </x:c>
      <x:c r="Q17" s="93" t="str">
        <x:v>IT Manager</x:v>
      </x:c>
      <x:c r="R17" s="95" t="n">
        <x:v>46332</x:v>
      </x:c>
      <x:c r="S17" s="93" t="str">
        <x:v>In Progress</x:v>
      </x:c>
      <x:c r="T17" s="93" t="str">
        <x:v>Manual lifecycle steps and limited access reviews support Partial (2). Consistent lifecycle and recertification target In place (4). Impact 3 reflects former or excessive access to sensitive systems.</x:v>
      </x:c>
      <x:c r="U17" s="93" t="str">
        <x:v>Scenario only</x:v>
      </x:c>
      <x:c r="V17" s="93" t="str">
        <x:v>HR joiner/mover/leaver records, access tickets, application accounts and recertification decisions.</x:v>
      </x:c>
      <x:c r="W17" s="95" t="n">
        <x:v>46298</x:v>
      </x:c>
      <x:c r="X17" s="93"/>
      <x:c r="Y17" s="102" t="str">
        <x:f>IF(COUNTA(A17:F17,H17,K17,N17:X17,AA17:AB17)=0,"",IF(A17="","Missing ID",IF(COUNTIF($A$5:$A$64,A17)&gt;1,"Duplicate ID",IF(OR(B17="",C17="",D17="",E17="",N17="",O17="",P17=""),"Missing assessment context",IF(NOT(ISNUMBER(L17)),"Incomplete or invalid scores",IF(OR(Q17="",NOT(OR(S17="Open",S17="Planned",S17="In Progress",S17="Monitor",S17="Closed",S17="Accepted"))),"Missing owner or invalid status",IF(NOT(ISNUMBER(R17)),"Missing or invalid target date",IF(R17&lt;=0,"Missing or invalid target date",IF(COUNTIFS(Lists!$J$2:$J$23,C17,Lists!$K$2:$K$23,B17)=0,"Category/function mismatch",IF(AND(ISNUMBER(J17),J17&gt;0,S17="Monitor"),"Gap needs action","OK"))))))))))</x:f>
        <x:v>OK</x:v>
      </x:c>
      <x:c r="Z17" s="102" t="str">
        <x:f>IF(A17="","",IF(OR(T17="",NOT(OR(U17="Scenario only",U17="Evidence requested",U17="Evidence reviewed")),V17="",NOT(ISNUMBER(W17)),AA17="",AB17=""),"Add assessment support",IF(OR(W17&lt;=0,W17&gt;Methodology!$B$25),"Review date outside period",IF(AND(OR(S17="Closed",S17="Accepted"),OR(X17="",U17&lt;&gt;"Evidence reviewed")),"Closure review needed",IF(OR(S17="Closed",S17="Accepted"),"Decision recorded",IF(U17="Evidence reviewed","Evidence recorded","Scenario documented"))))))</x:f>
        <x:v>Scenario documented</x:v>
      </x:c>
      <x:c r="AA17" s="93" t="str">
        <x:v>R-001, R-002, R-003, R-010, R-024, R-027</x:v>
      </x:c>
      <x:c r="AB17" s="93" t="str">
        <x:v>Trace recent departures and role changes across applications; retest removed access and review privileged entitlements.</x:v>
      </x:c>
    </x:row>
    <x:row r="18" ht="92" customHeight="1">
      <x:c r="A18" s="93" t="str">
        <x:v>GA-014</x:v>
      </x:c>
      <x:c r="B18" s="93" t="str">
        <x:v>Protect</x:v>
      </x:c>
      <x:c r="C18" s="93" t="str">
        <x:v>PR.AT</x:v>
      </x:c>
      <x:c r="D18" s="93" t="str">
        <x:v>Awareness and Training</x:v>
      </x:c>
      <x:c r="E18" s="93" t="str">
        <x:v>Does the workforce receive recurring security awareness appropriate to its role?</x:v>
      </x:c>
      <x:c r="F18" s="93" t="str">
        <x:v>Mostly</x:v>
      </x:c>
      <x:c r="G18" s="102" t="n">
        <x:f>IF(F18="","",IF(F18="Not in place",0,IF(F18="Ad hoc",1,IF(F18="Partial",2,IF(F18="Mostly",3,IF(F18="In place",4,""))))))</x:f>
        <x:v>3</x:v>
      </x:c>
      <x:c r="H18" s="93" t="str">
        <x:v>Mostly</x:v>
      </x:c>
      <x:c r="I18" s="102" t="n">
        <x:f>IF(H18="","",IF(H18="Not in place",0,IF(H18="Ad hoc",1,IF(H18="Partial",2,IF(H18="Mostly",3,IF(H18="In place",4,""))))))</x:f>
        <x:v>3</x:v>
      </x:c>
      <x:c r="J18" s="102" t="n">
        <x:f>IF(A18="","",IF(COUNT(G18,I18)=2,MAX(0,I18-G18),""))</x:f>
        <x:v>0</x:v>
      </x:c>
      <x:c r="K18" s="93" t="n">
        <x:v>2</x:v>
      </x:c>
      <x:c r="L18" s="102" t="n">
        <x:f>IF(A18="","",IF(COUNT(J18,K18)&lt;&gt;2,"",IF(AND(K18&gt;=1,K18&lt;=3,MOD(K18,1)=0),J18*K18,"")))</x:f>
        <x:v>0</x:v>
      </x:c>
      <x:c r="M18" s="102" t="str">
        <x:f>IF(A18="","",IF(ISNUMBER(L18),IF(L18=0,"No Gap",IF(L18&gt;=6,"High",IF(L18&gt;=3,"Medium","Low"))),"Not assessed"))</x:f>
        <x:v>No Gap</x:v>
      </x:c>
      <x:c r="N18" s="93" t="str">
        <x:v>Annual awareness training exists and targeted reminders are used for common threats.</x:v>
      </x:c>
      <x:c r="O18" s="93" t="str">
        <x:v>No material gap noted for the current target; measurement can improve over time.</x:v>
      </x:c>
      <x:c r="P18" s="93" t="str">
        <x:v>Maintain training and add periodic phishing-resilience metrics when feasible.</x:v>
      </x:c>
      <x:c r="Q18" s="93" t="str">
        <x:v>HR Manager</x:v>
      </x:c>
      <x:c r="R18" s="95" t="n">
        <x:v>46452</x:v>
      </x:c>
      <x:c r="S18" s="93" t="str">
        <x:v>Monitor</x:v>
      </x:c>
      <x:c r="T18" s="93" t="str">
        <x:v>Annual training and targeted reminders support Mostly (3), matching the selected target. Impact 2 reflects workforce exposure. A future phishing-measurement program is an improvement, not an existing target failure.</x:v>
      </x:c>
      <x:c r="U18" s="93" t="str">
        <x:v>Scenario only</x:v>
      </x:c>
      <x:c r="V18" s="93" t="str">
        <x:v>Training completion, role-specific materials, reminders and reporting instructions.</x:v>
      </x:c>
      <x:c r="W18" s="95" t="n">
        <x:v>46298</x:v>
      </x:c>
      <x:c r="X18" s="93"/>
      <x:c r="Y18" s="102" t="str">
        <x:f>IF(COUNTA(A18:F18,H18,K18,N18:X18,AA18:AB18)=0,"",IF(A18="","Missing ID",IF(COUNTIF($A$5:$A$64,A18)&gt;1,"Duplicate ID",IF(OR(B18="",C18="",D18="",E18="",N18="",O18="",P18=""),"Missing assessment context",IF(NOT(ISNUMBER(L18)),"Incomplete or invalid scores",IF(OR(Q18="",NOT(OR(S18="Open",S18="Planned",S18="In Progress",S18="Monitor",S18="Closed",S18="Accepted"))),"Missing owner or invalid status",IF(NOT(ISNUMBER(R18)),"Missing or invalid target date",IF(R18&lt;=0,"Missing or invalid target date",IF(COUNTIFS(Lists!$J$2:$J$23,C18,Lists!$K$2:$K$23,B18)=0,"Category/function mismatch",IF(AND(ISNUMBER(J18),J18&gt;0,S18="Monitor"),"Gap needs action","OK"))))))))))</x:f>
        <x:v>OK</x:v>
      </x:c>
      <x:c r="Z18" s="102" t="str">
        <x:f>IF(A18="","",IF(OR(T18="",NOT(OR(U18="Scenario only",U18="Evidence requested",U18="Evidence reviewed")),V18="",NOT(ISNUMBER(W18)),AA18="",AB18=""),"Add assessment support",IF(OR(W18&lt;=0,W18&gt;Methodology!$B$25),"Review date outside period",IF(AND(OR(S18="Closed",S18="Accepted"),OR(X18="",U18&lt;&gt;"Evidence reviewed")),"Closure review needed",IF(OR(S18="Closed",S18="Accepted"),"Decision recorded",IF(U18="Evidence reviewed","Evidence recorded","Scenario documented"))))))</x:f>
        <x:v>Scenario documented</x:v>
      </x:c>
      <x:c r="AA18" s="93" t="str">
        <x:v>R-018, R-027</x:v>
      </x:c>
      <x:c r="AB18" s="93" t="str">
        <x:v>Sample completion and role relevance, test the reporting channel and reassess the target if threat exposure changes.</x:v>
      </x:c>
    </x:row>
    <x:row r="19" ht="92" customHeight="1">
      <x:c r="A19" s="93" t="str">
        <x:v>GA-015</x:v>
      </x:c>
      <x:c r="B19" s="93" t="str">
        <x:v>Protect</x:v>
      </x:c>
      <x:c r="C19" s="93" t="str">
        <x:v>PR.DS</x:v>
      </x:c>
      <x:c r="D19" s="93" t="str">
        <x:v>Data Security</x:v>
      </x:c>
      <x:c r="E19" s="93" t="str">
        <x:v>Are sensitive data types classified and linked to handling and sharing requirements?</x:v>
      </x:c>
      <x:c r="F19" s="93" t="str">
        <x:v>Partial</x:v>
      </x:c>
      <x:c r="G19" s="102" t="n">
        <x:f>IF(F19="","",IF(F19="Not in place",0,IF(F19="Ad hoc",1,IF(F19="Partial",2,IF(F19="Mostly",3,IF(F19="In place",4,""))))))</x:f>
        <x:v>2</x:v>
      </x:c>
      <x:c r="H19" s="93" t="str">
        <x:v>Mostly</x:v>
      </x:c>
      <x:c r="I19" s="102" t="n">
        <x:f>IF(H19="","",IF(H19="Not in place",0,IF(H19="Ad hoc",1,IF(H19="Partial",2,IF(H19="Mostly",3,IF(H19="In place",4,""))))))</x:f>
        <x:v>3</x:v>
      </x:c>
      <x:c r="J19" s="102" t="n">
        <x:f>IF(A19="","",IF(COUNT(G19,I19)=2,MAX(0,I19-G19),""))</x:f>
        <x:v>1</x:v>
      </x:c>
      <x:c r="K19" s="93" t="n">
        <x:v>3</x:v>
      </x:c>
      <x:c r="L19" s="102" t="n">
        <x:f>IF(A19="","",IF(COUNT(J19,K19)&lt;&gt;2,"",IF(AND(K19&gt;=1,K19&lt;=3,MOD(K19,1)=0),J19*K19,"")))</x:f>
        <x:v>3</x:v>
      </x:c>
      <x:c r="M19" s="102" t="str">
        <x:f>IF(A19="","",IF(ISNUMBER(L19),IF(L19=0,"No Gap",IF(L19&gt;=6,"High",IF(L19&gt;=3,"Medium","Low"))),"Not assessed"))</x:f>
        <x:v>Medium</x:v>
      </x:c>
      <x:c r="N19" s="93" t="str">
        <x:v>Sensitive production data is understood, but classification labels are not consistently applied in collaboration tools.</x:v>
      </x:c>
      <x:c r="O19" s="93" t="str">
        <x:v>Employees may handle or share similar data differently across platforms.</x:v>
      </x:c>
      <x:c r="P19" s="93" t="str">
        <x:v>Define a practical data-classification scheme and align sharing/DLP rules to it.</x:v>
      </x:c>
      <x:c r="Q19" s="93" t="str">
        <x:v>Data Owner</x:v>
      </x:c>
      <x:c r="R19" s="95" t="n">
        <x:v>46362</x:v>
      </x:c>
      <x:c r="S19" s="93" t="str">
        <x:v>Planned</x:v>
      </x:c>
      <x:c r="T19" s="93" t="str">
        <x:v>Sensitive data is recognized but handling labels are inconsistent: Partial (2). A practical classification and sharing scheme targets Mostly (3). Impact 3 reflects customer-data disclosure.</x:v>
      </x:c>
      <x:c r="U19" s="93" t="str">
        <x:v>Scenario only</x:v>
      </x:c>
      <x:c r="V19" s="93" t="str">
        <x:v>Classification policy, data inventory, sharing rules, labels and DLP configuration.</x:v>
      </x:c>
      <x:c r="W19" s="95" t="n">
        <x:v>46298</x:v>
      </x:c>
      <x:c r="X19" s="93"/>
      <x:c r="Y19" s="102" t="str">
        <x:f>IF(COUNTA(A19:F19,H19,K19,N19:X19,AA19:AB19)=0,"",IF(A19="","Missing ID",IF(COUNTIF($A$5:$A$64,A19)&gt;1,"Duplicate ID",IF(OR(B19="",C19="",D19="",E19="",N19="",O19="",P19=""),"Missing assessment context",IF(NOT(ISNUMBER(L19)),"Incomplete or invalid scores",IF(OR(Q19="",NOT(OR(S19="Open",S19="Planned",S19="In Progress",S19="Monitor",S19="Closed",S19="Accepted"))),"Missing owner or invalid status",IF(NOT(ISNUMBER(R19)),"Missing or invalid target date",IF(R19&lt;=0,"Missing or invalid target date",IF(COUNTIFS(Lists!$J$2:$J$23,C19,Lists!$K$2:$K$23,B19)=0,"Category/function mismatch",IF(AND(ISNUMBER(J19),J19&gt;0,S19="Monitor"),"Gap needs action","OK"))))))))))</x:f>
        <x:v>OK</x:v>
      </x:c>
      <x:c r="Z19" s="102" t="str">
        <x:f>IF(A19="","",IF(OR(T19="",NOT(OR(U19="Scenario only",U19="Evidence requested",U19="Evidence reviewed")),V19="",NOT(ISNUMBER(W19)),AA19="",AB19=""),"Add assessment support",IF(OR(W19&lt;=0,W19&gt;Methodology!$B$25),"Review date outside period",IF(AND(OR(S19="Closed",S19="Accepted"),OR(X19="",U19&lt;&gt;"Evidence reviewed")),"Closure review needed",IF(OR(S19="Closed",S19="Accepted"),"Decision recorded",IF(U19="Evidence reviewed","Evidence recorded","Scenario documented"))))))</x:f>
        <x:v>Scenario documented</x:v>
      </x:c>
      <x:c r="AA19" s="93" t="str">
        <x:v>R-003, R-005, R-007, R-010, R-011, R-024</x:v>
      </x:c>
      <x:c r="AB19" s="93" t="str">
        <x:v>Use synthetic sensitive data to verify labeling and prohibited sharing are enforced while approved workflows function.</x:v>
      </x:c>
    </x:row>
    <x:row r="20" ht="92" customHeight="1">
      <x:c r="A20" s="93" t="str">
        <x:v>GA-016</x:v>
      </x:c>
      <x:c r="B20" s="93" t="str">
        <x:v>Protect</x:v>
      </x:c>
      <x:c r="C20" s="93" t="str">
        <x:v>PR.PS</x:v>
      </x:c>
      <x:c r="D20" s="93" t="str">
        <x:v>Platform Security</x:v>
      </x:c>
      <x:c r="E20" s="93" t="str">
        <x:v>Are endpoints managed against a defined secure baseline with EDR coverage?</x:v>
      </x:c>
      <x:c r="F20" s="93" t="str">
        <x:v>Partial</x:v>
      </x:c>
      <x:c r="G20" s="102" t="n">
        <x:f>IF(F20="","",IF(F20="Not in place",0,IF(F20="Ad hoc",1,IF(F20="Partial",2,IF(F20="Mostly",3,IF(F20="In place",4,""))))))</x:f>
        <x:v>2</x:v>
      </x:c>
      <x:c r="H20" s="93" t="str">
        <x:v>Mostly</x:v>
      </x:c>
      <x:c r="I20" s="102" t="n">
        <x:f>IF(H20="","",IF(H20="Not in place",0,IF(H20="Ad hoc",1,IF(H20="Partial",2,IF(H20="Mostly",3,IF(H20="In place",4,""))))))</x:f>
        <x:v>3</x:v>
      </x:c>
      <x:c r="J20" s="102" t="n">
        <x:f>IF(A20="","",IF(COUNT(G20,I20)=2,MAX(0,I20-G20),""))</x:f>
        <x:v>1</x:v>
      </x:c>
      <x:c r="K20" s="93" t="n">
        <x:v>3</x:v>
      </x:c>
      <x:c r="L20" s="102" t="n">
        <x:f>IF(A20="","",IF(COUNT(J20,K20)&lt;&gt;2,"",IF(AND(K20&gt;=1,K20&lt;=3,MOD(K20,1)=0),J20*K20,"")))</x:f>
        <x:v>3</x:v>
      </x:c>
      <x:c r="M20" s="102" t="str">
        <x:f>IF(A20="","",IF(ISNUMBER(L20),IF(L20=0,"No Gap",IF(L20&gt;=6,"High",IF(L20&gt;=3,"Medium","Low"))),"Not assessed"))</x:f>
        <x:v>Medium</x:v>
      </x:c>
      <x:c r="N20" s="93" t="str">
        <x:v>Antivirus and OS firewalls are standard; EDR and baseline compliance are not complete.</x:v>
      </x:c>
      <x:c r="O20" s="93" t="str">
        <x:v>Malware detection and configuration consistency are below the desired state.</x:v>
      </x:c>
      <x:c r="P20" s="93" t="str">
        <x:v>Deploy EDR broadly and measure compliance against a documented endpoint baseline.</x:v>
      </x:c>
      <x:c r="Q20" s="93" t="str">
        <x:v>Security Manager</x:v>
      </x:c>
      <x:c r="R20" s="95" t="n">
        <x:v>46332</x:v>
      </x:c>
      <x:c r="S20" s="93" t="str">
        <x:v>Planned</x:v>
      </x:c>
      <x:c r="T20" s="93" t="str">
        <x:v>Antivirus/firewalls exist but EDR and baseline coverage are incomplete: Partial (2). Broad managed coverage targets Mostly (3). Impact 3 reflects compromised devices and credentials.</x:v>
      </x:c>
      <x:c r="U20" s="93" t="str">
        <x:v>Scenario only</x:v>
      </x:c>
      <x:c r="V20" s="93" t="str">
        <x:v>Managed-device inventory, baseline, EDR coverage/health and exception list.</x:v>
      </x:c>
      <x:c r="W20" s="95" t="n">
        <x:v>46298</x:v>
      </x:c>
      <x:c r="X20" s="93"/>
      <x:c r="Y20" s="102" t="str">
        <x:f>IF(COUNTA(A20:F20,H20,K20,N20:X20,AA20:AB20)=0,"",IF(A20="","Missing ID",IF(COUNTIF($A$5:$A$64,A20)&gt;1,"Duplicate ID",IF(OR(B20="",C20="",D20="",E20="",N20="",O20="",P20=""),"Missing assessment context",IF(NOT(ISNUMBER(L20)),"Incomplete or invalid scores",IF(OR(Q20="",NOT(OR(S20="Open",S20="Planned",S20="In Progress",S20="Monitor",S20="Closed",S20="Accepted"))),"Missing owner or invalid status",IF(NOT(ISNUMBER(R20)),"Missing or invalid target date",IF(R20&lt;=0,"Missing or invalid target date",IF(COUNTIFS(Lists!$J$2:$J$23,C20,Lists!$K$2:$K$23,B20)=0,"Category/function mismatch",IF(AND(ISNUMBER(J20),J20&gt;0,S20="Monitor"),"Gap needs action","OK"))))))))))</x:f>
        <x:v>OK</x:v>
      </x:c>
      <x:c r="Z20" s="102" t="str">
        <x:f>IF(A20="","",IF(OR(T20="",NOT(OR(U20="Scenario only",U20="Evidence requested",U20="Evidence reviewed")),V20="",NOT(ISNUMBER(W20)),AA20="",AB20=""),"Add assessment support",IF(OR(W20&lt;=0,W20&gt;Methodology!$B$25),"Review date outside period",IF(AND(OR(S20="Closed",S20="Accepted"),OR(X20="",U20&lt;&gt;"Evidence reviewed")),"Closure review needed",IF(OR(S20="Closed",S20="Accepted"),"Decision recorded",IF(U20="Evidence reviewed","Evidence recorded","Scenario documented"))))))</x:f>
        <x:v>Scenario documented</x:v>
      </x:c>
      <x:c r="AA20" s="93" t="str">
        <x:v>R-004, R-006, R-007</x:v>
      </x:c>
      <x:c r="AB20" s="93" t="str">
        <x:v>Reconcile endpoint coverage, test a benign alert and record remediation of baseline exceptions.</x:v>
      </x:c>
    </x:row>
    <x:row r="21" ht="92" customHeight="1">
      <x:c r="A21" s="93" t="str">
        <x:v>GA-017</x:v>
      </x:c>
      <x:c r="B21" s="93" t="str">
        <x:v>Protect</x:v>
      </x:c>
      <x:c r="C21" s="93" t="str">
        <x:v>PR.PS</x:v>
      </x:c>
      <x:c r="D21" s="93" t="str">
        <x:v>Platform Security</x:v>
      </x:c>
      <x:c r="E21" s="93" t="str">
        <x:v>Are patching and vulnerability-remediation timelines defined and verified?</x:v>
      </x:c>
      <x:c r="F21" s="93" t="str">
        <x:v>Partial</x:v>
      </x:c>
      <x:c r="G21" s="102" t="n">
        <x:f>IF(F21="","",IF(F21="Not in place",0,IF(F21="Ad hoc",1,IF(F21="Partial",2,IF(F21="Mostly",3,IF(F21="In place",4,""))))))</x:f>
        <x:v>2</x:v>
      </x:c>
      <x:c r="H21" s="93" t="str">
        <x:v>In place</x:v>
      </x:c>
      <x:c r="I21" s="102" t="n">
        <x:f>IF(H21="","",IF(H21="Not in place",0,IF(H21="Ad hoc",1,IF(H21="Partial",2,IF(H21="Mostly",3,IF(H21="In place",4,""))))))</x:f>
        <x:v>4</x:v>
      </x:c>
      <x:c r="J21" s="102" t="n">
        <x:f>IF(A21="","",IF(COUNT(G21,I21)=2,MAX(0,I21-G21),""))</x:f>
        <x:v>2</x:v>
      </x:c>
      <x:c r="K21" s="93" t="n">
        <x:v>3</x:v>
      </x:c>
      <x:c r="L21" s="102" t="n">
        <x:f>IF(A21="","",IF(COUNT(J21,K21)&lt;&gt;2,"",IF(AND(K21&gt;=1,K21&lt;=3,MOD(K21,1)=0),J21*K21,"")))</x:f>
        <x:v>6</x:v>
      </x:c>
      <x:c r="M21" s="102" t="str">
        <x:f>IF(A21="","",IF(ISNUMBER(L21),IF(L21=0,"No Gap",IF(L21&gt;=6,"High",IF(L21&gt;=3,"Medium","Low"))),"Not assessed"))</x:f>
        <x:v>High</x:v>
      </x:c>
      <x:c r="N21" s="93" t="str">
        <x:v>Monthly patching exists; risk-based SLAs and scan-based verification are incomplete.</x:v>
      </x:c>
      <x:c r="O21" s="93" t="str">
        <x:v>High-risk vulnerabilities may remain open without documented exception.</x:v>
      </x:c>
      <x:c r="P21" s="93" t="str">
        <x:v>Define critical/high remediation SLAs and verify closure through scanning.</x:v>
      </x:c>
      <x:c r="Q21" s="93" t="str">
        <x:v>Security Manager</x:v>
      </x:c>
      <x:c r="R21" s="95" t="n">
        <x:v>46317</x:v>
      </x:c>
      <x:c r="S21" s="93" t="str">
        <x:v>In Progress</x:v>
      </x:c>
      <x:c r="T21" s="93" t="str">
        <x:v>Monthly patching exists but deadlines and verification are incomplete: Partial (2). Timely remediation with rescans targets In place (4). Impact 3 reflects continued exploitation risk.</x:v>
      </x:c>
      <x:c r="U21" s="93" t="str">
        <x:v>Scenario only</x:v>
      </x:c>
      <x:c r="V21" s="93" t="str">
        <x:v>Patch reports, risk-based SLAs, tickets, exceptions and authenticated rescans.</x:v>
      </x:c>
      <x:c r="W21" s="95" t="n">
        <x:v>46298</x:v>
      </x:c>
      <x:c r="X21" s="93"/>
      <x:c r="Y21" s="102" t="str">
        <x:f>IF(COUNTA(A21:F21,H21,K21,N21:X21,AA21:AB21)=0,"",IF(A21="","Missing ID",IF(COUNTIF($A$5:$A$64,A21)&gt;1,"Duplicate ID",IF(OR(B21="",C21="",D21="",E21="",N21="",O21="",P21=""),"Missing assessment context",IF(NOT(ISNUMBER(L21)),"Incomplete or invalid scores",IF(OR(Q21="",NOT(OR(S21="Open",S21="Planned",S21="In Progress",S21="Monitor",S21="Closed",S21="Accepted"))),"Missing owner or invalid status",IF(NOT(ISNUMBER(R21)),"Missing or invalid target date",IF(R21&lt;=0,"Missing or invalid target date",IF(COUNTIFS(Lists!$J$2:$J$23,C21,Lists!$K$2:$K$23,B21)=0,"Category/function mismatch",IF(AND(ISNUMBER(J21),J21&gt;0,S21="Monitor"),"Gap needs action","OK"))))))))))</x:f>
        <x:v>OK</x:v>
      </x:c>
      <x:c r="Z21" s="102" t="str">
        <x:f>IF(A21="","",IF(OR(T21="",NOT(OR(U21="Scenario only",U21="Evidence requested",U21="Evidence reviewed")),V21="",NOT(ISNUMBER(W21)),AA21="",AB21=""),"Add assessment support",IF(OR(W21&lt;=0,W21&gt;Methodology!$B$25),"Review date outside period",IF(AND(OR(S21="Closed",S21="Accepted"),OR(X21="",U21&lt;&gt;"Evidence reviewed")),"Closure review needed",IF(OR(S21="Closed",S21="Accepted"),"Decision recorded",IF(U21="Evidence reviewed","Evidence recorded","Scenario documented"))))))</x:f>
        <x:v>Scenario documented</x:v>
      </x:c>
      <x:c r="AA21" s="93" t="str">
        <x:v>R-008, R-025</x:v>
      </x:c>
      <x:c r="AB21" s="93" t="str">
        <x:v>Sample due high-risk patches for timely deployment and clean rescans or approved expiring exceptions.</x:v>
      </x:c>
    </x:row>
    <x:row r="22" ht="92" customHeight="1">
      <x:c r="A22" s="93" t="str">
        <x:v>GA-018</x:v>
      </x:c>
      <x:c r="B22" s="93" t="str">
        <x:v>Protect</x:v>
      </x:c>
      <x:c r="C22" s="93" t="str">
        <x:v>PR.PS</x:v>
      </x:c>
      <x:c r="D22" s="93" t="str">
        <x:v>Platform Security</x:v>
      </x:c>
      <x:c r="E22" s="93" t="str">
        <x:v>Are source-code secrets and vulnerable software dependencies detected before deployment?</x:v>
      </x:c>
      <x:c r="F22" s="93" t="str">
        <x:v>Partial</x:v>
      </x:c>
      <x:c r="G22" s="102" t="n">
        <x:f>IF(F22="","",IF(F22="Not in place",0,IF(F22="Ad hoc",1,IF(F22="Partial",2,IF(F22="Mostly",3,IF(F22="In place",4,""))))))</x:f>
        <x:v>2</x:v>
      </x:c>
      <x:c r="H22" s="93" t="str">
        <x:v>Mostly</x:v>
      </x:c>
      <x:c r="I22" s="102" t="n">
        <x:f>IF(H22="","",IF(H22="Not in place",0,IF(H22="Ad hoc",1,IF(H22="Partial",2,IF(H22="Mostly",3,IF(H22="In place",4,""))))))</x:f>
        <x:v>3</x:v>
      </x:c>
      <x:c r="J22" s="102" t="n">
        <x:f>IF(A22="","",IF(COUNT(G22,I22)=2,MAX(0,I22-G22),""))</x:f>
        <x:v>1</x:v>
      </x:c>
      <x:c r="K22" s="93" t="n">
        <x:v>3</x:v>
      </x:c>
      <x:c r="L22" s="102" t="n">
        <x:f>IF(A22="","",IF(COUNT(J22,K22)&lt;&gt;2,"",IF(AND(K22&gt;=1,K22&lt;=3,MOD(K22,1)=0),J22*K22,"")))</x:f>
        <x:v>3</x:v>
      </x:c>
      <x:c r="M22" s="102" t="str">
        <x:f>IF(A22="","",IF(ISNUMBER(L22),IF(L22=0,"No Gap",IF(L22&gt;=6,"High",IF(L22&gt;=3,"Medium","Low"))),"Not assessed"))</x:f>
        <x:v>Medium</x:v>
      </x:c>
      <x:c r="N22" s="93" t="str">
        <x:v>Code review and repository permissions exist; secret scanning and dependency governance are incomplete.</x:v>
      </x:c>
      <x:c r="O22" s="93" t="str">
        <x:v>Exposed credentials or vulnerable packages can reach production workflows.</x:v>
      </x:c>
      <x:c r="P22" s="93" t="str">
        <x:v>Enable secret scanning and software-composition analysis in CI/CD.</x:v>
      </x:c>
      <x:c r="Q22" s="93" t="str">
        <x:v>Application Owner</x:v>
      </x:c>
      <x:c r="R22" s="95" t="n">
        <x:v>46332</x:v>
      </x:c>
      <x:c r="S22" s="93" t="str">
        <x:v>In Progress</x:v>
      </x:c>
      <x:c r="T22" s="93" t="str">
        <x:v>Repository permissions and review provide some control, supporting Partial (2). Automated secret/dependency checks target Mostly (3). Impact 3 reflects credentials or exploitable code entering production.</x:v>
      </x:c>
      <x:c r="U22" s="93" t="str">
        <x:v>Scenario only</x:v>
      </x:c>
      <x:c r="V22" s="93" t="str">
        <x:v>Repository configuration, secret/dependency scans, CI enforcement and remediation records.</x:v>
      </x:c>
      <x:c r="W22" s="95" t="n">
        <x:v>46298</x:v>
      </x:c>
      <x:c r="X22" s="93"/>
      <x:c r="Y22" s="102" t="str">
        <x:f>IF(COUNTA(A22:F22,H22,K22,N22:X22,AA22:AB22)=0,"",IF(A22="","Missing ID",IF(COUNTIF($A$5:$A$64,A22)&gt;1,"Duplicate ID",IF(OR(B22="",C22="",D22="",E22="",N22="",O22="",P22=""),"Missing assessment context",IF(NOT(ISNUMBER(L22)),"Incomplete or invalid scores",IF(OR(Q22="",NOT(OR(S22="Open",S22="Planned",S22="In Progress",S22="Monitor",S22="Closed",S22="Accepted"))),"Missing owner or invalid status",IF(NOT(ISNUMBER(R22)),"Missing or invalid target date",IF(R22&lt;=0,"Missing or invalid target date",IF(COUNTIFS(Lists!$J$2:$J$23,C22,Lists!$K$2:$K$23,B22)=0,"Category/function mismatch",IF(AND(ISNUMBER(J22),J22&gt;0,S22="Monitor"),"Gap needs action","OK"))))))))))</x:f>
        <x:v>OK</x:v>
      </x:c>
      <x:c r="Z22" s="102" t="str">
        <x:f>IF(A22="","",IF(OR(T22="",NOT(OR(U22="Scenario only",U22="Evidence requested",U22="Evidence reviewed")),V22="",NOT(ISNUMBER(W22)),AA22="",AB22=""),"Add assessment support",IF(OR(W22&lt;=0,W22&gt;Methodology!$B$25),"Review date outside period",IF(AND(OR(S22="Closed",S22="Accepted"),OR(X22="",U22&lt;&gt;"Evidence reviewed")),"Closure review needed",IF(OR(S22="Closed",S22="Accepted"),"Decision recorded",IF(U22="Evidence reviewed","Evidence recorded","Scenario documented"))))))</x:f>
        <x:v>Scenario documented</x:v>
      </x:c>
      <x:c r="AA22" s="93" t="str">
        <x:v>R-009, R-023, R-028</x:v>
      </x:c>
      <x:c r="AB22" s="93" t="str">
        <x:v>Test with a dummy secret and approved vulnerable-package fixture in nonproduction; verify detection and remediation handling.</x:v>
      </x:c>
    </x:row>
    <x:row r="23" ht="92" customHeight="1">
      <x:c r="A23" s="93" t="str">
        <x:v>GA-019</x:v>
      </x:c>
      <x:c r="B23" s="93" t="str">
        <x:v>Protect</x:v>
      </x:c>
      <x:c r="C23" s="93" t="str">
        <x:v>PR.IR</x:v>
      </x:c>
      <x:c r="D23" s="93" t="str">
        <x:v>Technology Infrastructure Resilience</x:v>
      </x:c>
      <x:c r="E23" s="93" t="str">
        <x:v>Are backups isolated and are restores tested often enough to support recovery?</x:v>
      </x:c>
      <x:c r="F23" s="93" t="str">
        <x:v>Mostly</x:v>
      </x:c>
      <x:c r="G23" s="102" t="n">
        <x:f>IF(F23="","",IF(F23="Not in place",0,IF(F23="Ad hoc",1,IF(F23="Partial",2,IF(F23="Mostly",3,IF(F23="In place",4,""))))))</x:f>
        <x:v>3</x:v>
      </x:c>
      <x:c r="H23" s="93" t="str">
        <x:v>In place</x:v>
      </x:c>
      <x:c r="I23" s="102" t="n">
        <x:f>IF(H23="","",IF(H23="Not in place",0,IF(H23="Ad hoc",1,IF(H23="Partial",2,IF(H23="Mostly",3,IF(H23="In place",4,""))))))</x:f>
        <x:v>4</x:v>
      </x:c>
      <x:c r="J23" s="102" t="n">
        <x:f>IF(A23="","",IF(COUNT(G23,I23)=2,MAX(0,I23-G23),""))</x:f>
        <x:v>1</x:v>
      </x:c>
      <x:c r="K23" s="93" t="n">
        <x:v>3</x:v>
      </x:c>
      <x:c r="L23" s="102" t="n">
        <x:f>IF(A23="","",IF(COUNT(J23,K23)&lt;&gt;2,"",IF(AND(K23&gt;=1,K23&lt;=3,MOD(K23,1)=0),J23*K23,"")))</x:f>
        <x:v>3</x:v>
      </x:c>
      <x:c r="M23" s="102" t="str">
        <x:f>IF(A23="","",IF(ISNUMBER(L23),IF(L23=0,"No Gap",IF(L23&gt;=6,"High",IF(L23&gt;=3,"Medium","Low"))),"Not assessed"))</x:f>
        <x:v>Medium</x:v>
      </x:c>
      <x:c r="N23" s="93" t="str">
        <x:v>Scheduled backups exist and some restores are tested; immutable isolation is being improved.</x:v>
      </x:c>
      <x:c r="O23" s="93" t="str">
        <x:v>A ransomware event could still affect recovery options if isolation is insufficient.</x:v>
      </x:c>
      <x:c r="P23" s="93" t="str">
        <x:v>Complete immutable/offline backup protection and document recurring restore tests.</x:v>
      </x:c>
      <x:c r="Q23" s="93" t="str">
        <x:v>Operations Manager</x:v>
      </x:c>
      <x:c r="R23" s="95" t="n">
        <x:v>46317</x:v>
      </x:c>
      <x:c r="S23" s="93" t="str">
        <x:v>In Progress</x:v>
      </x:c>
      <x:c r="T23" s="93" t="str">
        <x:v>Scheduled backups and some restores support Mostly (3). Isolated copies with recurring verified restores target In place (4). Impact 3 reflects loss of recoverability during ransomware.</x:v>
      </x:c>
      <x:c r="U23" s="93" t="str">
        <x:v>Scenario only</x:v>
      </x:c>
      <x:c r="V23" s="93" t="str">
        <x:v>Backup job reports, immutability/isolation settings, access separation and restore results.</x:v>
      </x:c>
      <x:c r="W23" s="95" t="n">
        <x:v>46298</x:v>
      </x:c>
      <x:c r="X23" s="93"/>
      <x:c r="Y23" s="102" t="str">
        <x:f>IF(COUNTA(A23:F23,H23,K23,N23:X23,AA23:AB23)=0,"",IF(A23="","Missing ID",IF(COUNTIF($A$5:$A$64,A23)&gt;1,"Duplicate ID",IF(OR(B23="",C23="",D23="",E23="",N23="",O23="",P23=""),"Missing assessment context",IF(NOT(ISNUMBER(L23)),"Incomplete or invalid scores",IF(OR(Q23="",NOT(OR(S23="Open",S23="Planned",S23="In Progress",S23="Monitor",S23="Closed",S23="Accepted"))),"Missing owner or invalid status",IF(NOT(ISNUMBER(R23)),"Missing or invalid target date",IF(R23&lt;=0,"Missing or invalid target date",IF(COUNTIFS(Lists!$J$2:$J$23,C23,Lists!$K$2:$K$23,B23)=0,"Category/function mismatch",IF(AND(ISNUMBER(J23),J23&gt;0,S23="Monitor"),"Gap needs action","OK"))))))))))</x:f>
        <x:v>OK</x:v>
      </x:c>
      <x:c r="Z23" s="102" t="str">
        <x:f>IF(A23="","",IF(OR(T23="",NOT(OR(U23="Scenario only",U23="Evidence requested",U23="Evidence reviewed")),V23="",NOT(ISNUMBER(W23)),AA23="",AB23=""),"Add assessment support",IF(OR(W23&lt;=0,W23&gt;Methodology!$B$25),"Review date outside period",IF(AND(OR(S23="Closed",S23="Accepted"),OR(X23="",U23&lt;&gt;"Evidence reviewed")),"Closure review needed",IF(OR(S23="Closed",S23="Accepted"),"Decision recorded",IF(U23="Evidence reviewed","Evidence recorded","Scenario documented"))))))</x:f>
        <x:v>Scenario documented</x:v>
      </x:c>
      <x:c r="AA23" s="93" t="str">
        <x:v>R-016, R-017, R-024</x:v>
      </x:c>
      <x:c r="AB23" s="93" t="str">
        <x:v>Restore a representative isolated copy and verify it remains protected from production administrator compromise.</x:v>
      </x:c>
    </x:row>
    <x:row r="24" ht="92" customHeight="1">
      <x:c r="A24" s="93" t="str">
        <x:v>GA-020</x:v>
      </x:c>
      <x:c r="B24" s="93" t="str">
        <x:v>Protect</x:v>
      </x:c>
      <x:c r="C24" s="93" t="str">
        <x:v>PR.IR</x:v>
      </x:c>
      <x:c r="D24" s="93" t="str">
        <x:v>Technology Infrastructure Resilience</x:v>
      </x:c>
      <x:c r="E24" s="93" t="str">
        <x:v>Is internal network access segmented according to system sensitivity and administrative need?</x:v>
      </x:c>
      <x:c r="F24" s="93" t="str">
        <x:v>Ad hoc</x:v>
      </x:c>
      <x:c r="G24" s="102" t="n">
        <x:f>IF(F24="","",IF(F24="Not in place",0,IF(F24="Ad hoc",1,IF(F24="Partial",2,IF(F24="Mostly",3,IF(F24="In place",4,""))))))</x:f>
        <x:v>1</x:v>
      </x:c>
      <x:c r="H24" s="93" t="str">
        <x:v>Mostly</x:v>
      </x:c>
      <x:c r="I24" s="102" t="n">
        <x:f>IF(H24="","",IF(H24="Not in place",0,IF(H24="Ad hoc",1,IF(H24="Partial",2,IF(H24="Mostly",3,IF(H24="In place",4,""))))))</x:f>
        <x:v>3</x:v>
      </x:c>
      <x:c r="J24" s="102" t="n">
        <x:f>IF(A24="","",IF(COUNT(G24,I24)=2,MAX(0,I24-G24),""))</x:f>
        <x:v>2</x:v>
      </x:c>
      <x:c r="K24" s="93" t="n">
        <x:v>3</x:v>
      </x:c>
      <x:c r="L24" s="102" t="n">
        <x:f>IF(A24="","",IF(COUNT(J24,K24)&lt;&gt;2,"",IF(AND(K24&gt;=1,K24&lt;=3,MOD(K24,1)=0),J24*K24,"")))</x:f>
        <x:v>6</x:v>
      </x:c>
      <x:c r="M24" s="102" t="str">
        <x:f>IF(A24="","",IF(ISNUMBER(L24),IF(L24=0,"No Gap",IF(L24&gt;=6,"High",IF(L24&gt;=3,"Medium","Low"))),"Not assessed"))</x:f>
        <x:v>High</x:v>
      </x:c>
      <x:c r="N24" s="93" t="str">
        <x:v>Perimeter controls are established; internal segmentation remains limited.</x:v>
      </x:c>
      <x:c r="O24" s="93" t="str">
        <x:v>A compromised endpoint could have unnecessary network paths to higher-value systems.</x:v>
      </x:c>
      <x:c r="P24" s="93" t="str">
        <x:v>Segment user, server, administrative, and security zones and validate firewall rules.</x:v>
      </x:c>
      <x:c r="Q24" s="93" t="str">
        <x:v>IT Manager</x:v>
      </x:c>
      <x:c r="R24" s="95" t="n">
        <x:v>46392</x:v>
      </x:c>
      <x:c r="S24" s="93" t="str">
        <x:v>Planned</x:v>
      </x:c>
      <x:c r="T24" s="93" t="str">
        <x:v>Perimeter controls exist but internal segmentation is limited, supporting Ad hoc (1). Defined zones and tested rules target Mostly (3). Impact 3 reflects lateral movement into high-value systems.</x:v>
      </x:c>
      <x:c r="U24" s="93" t="str">
        <x:v>Scenario only</x:v>
      </x:c>
      <x:c r="V24" s="93" t="str">
        <x:v>Network zones, permitted flows, firewall rules and reachability test results.</x:v>
      </x:c>
      <x:c r="W24" s="95" t="n">
        <x:v>46298</x:v>
      </x:c>
      <x:c r="X24" s="93"/>
      <x:c r="Y24" s="102" t="str">
        <x:f>IF(COUNTA(A24:F24,H24,K24,N24:X24,AA24:AB24)=0,"",IF(A24="","Missing ID",IF(COUNTIF($A$5:$A$64,A24)&gt;1,"Duplicate ID",IF(OR(B24="",C24="",D24="",E24="",N24="",O24="",P24=""),"Missing assessment context",IF(NOT(ISNUMBER(L24)),"Incomplete or invalid scores",IF(OR(Q24="",NOT(OR(S24="Open",S24="Planned",S24="In Progress",S24="Monitor",S24="Closed",S24="Accepted"))),"Missing owner or invalid status",IF(NOT(ISNUMBER(R24)),"Missing or invalid target date",IF(R24&lt;=0,"Missing or invalid target date",IF(COUNTIFS(Lists!$J$2:$J$23,C24,Lists!$K$2:$K$23,B24)=0,"Category/function mismatch",IF(AND(ISNUMBER(J24),J24&gt;0,S24="Monitor"),"Gap needs action","OK"))))))))))</x:f>
        <x:v>OK</x:v>
      </x:c>
      <x:c r="Z24" s="102" t="str">
        <x:f>IF(A24="","",IF(OR(T24="",NOT(OR(U24="Scenario only",U24="Evidence requested",U24="Evidence reviewed")),V24="",NOT(ISNUMBER(W24)),AA24="",AB24=""),"Add assessment support",IF(OR(W24&lt;=0,W24&gt;Methodology!$B$25),"Review date outside period",IF(AND(OR(S24="Closed",S24="Accepted"),OR(X24="",U24&lt;&gt;"Evidence reviewed")),"Closure review needed",IF(OR(S24="Closed",S24="Accepted"),"Decision recorded",IF(U24="Evidence reviewed","Evidence recorded","Scenario documented"))))))</x:f>
        <x:v>Scenario documented</x:v>
      </x:c>
      <x:c r="AA24" s="93" t="str">
        <x:v>R-004, R-019, R-020</x:v>
      </x:c>
      <x:c r="AB24" s="93" t="str">
        <x:v>Test allowed and denied connections between sensitivity zones and remove unjustified administrative paths.</x:v>
      </x:c>
    </x:row>
    <x:row r="25" ht="92" customHeight="1">
      <x:c r="A25" s="93" t="str">
        <x:v>GA-021</x:v>
      </x:c>
      <x:c r="B25" s="93" t="str">
        <x:v>Detect</x:v>
      </x:c>
      <x:c r="C25" s="93" t="str">
        <x:v>DE.CM</x:v>
      </x:c>
      <x:c r="D25" s="93" t="str">
        <x:v>Continuous Monitoring</x:v>
      </x:c>
      <x:c r="E25" s="93" t="str">
        <x:v>Are critical identity, endpoint, cloud, network, and application logs centrally collected?</x:v>
      </x:c>
      <x:c r="F25" s="93" t="str">
        <x:v>Partial</x:v>
      </x:c>
      <x:c r="G25" s="102" t="n">
        <x:f>IF(F25="","",IF(F25="Not in place",0,IF(F25="Ad hoc",1,IF(F25="Partial",2,IF(F25="Mostly",3,IF(F25="In place",4,""))))))</x:f>
        <x:v>2</x:v>
      </x:c>
      <x:c r="H25" s="93" t="str">
        <x:v>In place</x:v>
      </x:c>
      <x:c r="I25" s="102" t="n">
        <x:f>IF(H25="","",IF(H25="Not in place",0,IF(H25="Ad hoc",1,IF(H25="Partial",2,IF(H25="Mostly",3,IF(H25="In place",4,""))))))</x:f>
        <x:v>4</x:v>
      </x:c>
      <x:c r="J25" s="102" t="n">
        <x:f>IF(A25="","",IF(COUNT(G25,I25)=2,MAX(0,I25-G25),""))</x:f>
        <x:v>2</x:v>
      </x:c>
      <x:c r="K25" s="93" t="n">
        <x:v>3</x:v>
      </x:c>
      <x:c r="L25" s="102" t="n">
        <x:f>IF(A25="","",IF(COUNT(J25,K25)&lt;&gt;2,"",IF(AND(K25&gt;=1,K25&lt;=3,MOD(K25,1)=0),J25*K25,"")))</x:f>
        <x:v>6</x:v>
      </x:c>
      <x:c r="M25" s="102" t="str">
        <x:f>IF(A25="","",IF(ISNUMBER(L25),IF(L25=0,"No Gap",IF(L25&gt;=6,"High",IF(L25&gt;=3,"Medium","Low"))),"Not assessed"))</x:f>
        <x:v>High</x:v>
      </x:c>
      <x:c r="N25" s="93" t="str">
        <x:v>Native logs exist across systems; central collection is incomplete.</x:v>
      </x:c>
      <x:c r="O25" s="93" t="str">
        <x:v>Investigation and detection coverage are inconsistent across log sources.</x:v>
      </x:c>
      <x:c r="P25" s="93" t="str">
        <x:v>Centralize priority log sources and define minimum retention.</x:v>
      </x:c>
      <x:c r="Q25" s="93" t="str">
        <x:v>Security Manager</x:v>
      </x:c>
      <x:c r="R25" s="95" t="n">
        <x:v>46317</x:v>
      </x:c>
      <x:c r="S25" s="93" t="str">
        <x:v>In Progress</x:v>
      </x:c>
      <x:c r="T25" s="93" t="str">
        <x:v>Native logs exist but central collection is incomplete: Partial (2). Complete priority-source collection targets In place (4). Impact 3 reflects missed detections and weak investigations.</x:v>
      </x:c>
      <x:c r="U25" s="93" t="str">
        <x:v>Scenario only</x:v>
      </x:c>
      <x:c r="V25" s="93" t="str">
        <x:v>Log-source register, collection settings, ingestion health and test-event records.</x:v>
      </x:c>
      <x:c r="W25" s="95" t="n">
        <x:v>46298</x:v>
      </x:c>
      <x:c r="X25" s="93"/>
      <x:c r="Y25" s="102" t="str">
        <x:f>IF(COUNTA(A25:F25,H25,K25,N25:X25,AA25:AB25)=0,"",IF(A25="","Missing ID",IF(COUNTIF($A$5:$A$64,A25)&gt;1,"Duplicate ID",IF(OR(B25="",C25="",D25="",E25="",N25="",O25="",P25=""),"Missing assessment context",IF(NOT(ISNUMBER(L25)),"Incomplete or invalid scores",IF(OR(Q25="",NOT(OR(S25="Open",S25="Planned",S25="In Progress",S25="Monitor",S25="Closed",S25="Accepted"))),"Missing owner or invalid status",IF(NOT(ISNUMBER(R25)),"Missing or invalid target date",IF(R25&lt;=0,"Missing or invalid target date",IF(COUNTIFS(Lists!$J$2:$J$23,C25,Lists!$K$2:$K$23,B25)=0,"Category/function mismatch",IF(AND(ISNUMBER(J25),J25&gt;0,S25="Monitor"),"Gap needs action","OK"))))))))))</x:f>
        <x:v>OK</x:v>
      </x:c>
      <x:c r="Z25" s="102" t="str">
        <x:f>IF(A25="","",IF(OR(T25="",NOT(OR(U25="Scenario only",U25="Evidence requested",U25="Evidence reviewed")),V25="",NOT(ISNUMBER(W25)),AA25="",AB25=""),"Add assessment support",IF(OR(W25&lt;=0,W25&gt;Methodology!$B$25),"Review date outside period",IF(AND(OR(S25="Closed",S25="Accepted"),OR(X25="",U25&lt;&gt;"Evidence reviewed")),"Closure review needed",IF(OR(S25="Closed",S25="Accepted"),"Decision recorded",IF(U25="Evidence reviewed","Evidence recorded","Scenario documented"))))))</x:f>
        <x:v>Scenario documented</x:v>
      </x:c>
      <x:c r="AA25" s="93" t="str">
        <x:v>R-010, R-014, R-026</x:v>
      </x:c>
      <x:c r="AB25" s="93" t="str">
        <x:v>Generate authorized events in each priority source and confirm timely arrival, searchable fields and restricted access.</x:v>
      </x:c>
    </x:row>
    <x:row r="26" ht="92" customHeight="1">
      <x:c r="A26" s="93" t="str">
        <x:v>GA-022</x:v>
      </x:c>
      <x:c r="B26" s="93" t="str">
        <x:v>Detect</x:v>
      </x:c>
      <x:c r="C26" s="93" t="str">
        <x:v>DE.CM</x:v>
      </x:c>
      <x:c r="D26" s="93" t="str">
        <x:v>Continuous Monitoring</x:v>
      </x:c>
      <x:c r="E26" s="93" t="str">
        <x:v>Are high-value suspicious behaviors covered by repeatable detection rules or alerts?</x:v>
      </x:c>
      <x:c r="F26" s="93" t="str">
        <x:v>Ad hoc</x:v>
      </x:c>
      <x:c r="G26" s="102" t="n">
        <x:f>IF(F26="","",IF(F26="Not in place",0,IF(F26="Ad hoc",1,IF(F26="Partial",2,IF(F26="Mostly",3,IF(F26="In place",4,""))))))</x:f>
        <x:v>1</x:v>
      </x:c>
      <x:c r="H26" s="93" t="str">
        <x:v>Mostly</x:v>
      </x:c>
      <x:c r="I26" s="102" t="n">
        <x:f>IF(H26="","",IF(H26="Not in place",0,IF(H26="Ad hoc",1,IF(H26="Partial",2,IF(H26="Mostly",3,IF(H26="In place",4,""))))))</x:f>
        <x:v>3</x:v>
      </x:c>
      <x:c r="J26" s="102" t="n">
        <x:f>IF(A26="","",IF(COUNT(G26,I26)=2,MAX(0,I26-G26),""))</x:f>
        <x:v>2</x:v>
      </x:c>
      <x:c r="K26" s="93" t="n">
        <x:v>3</x:v>
      </x:c>
      <x:c r="L26" s="102" t="n">
        <x:f>IF(A26="","",IF(COUNT(J26,K26)&lt;&gt;2,"",IF(AND(K26&gt;=1,K26&lt;=3,MOD(K26,1)=0),J26*K26,"")))</x:f>
        <x:v>6</x:v>
      </x:c>
      <x:c r="M26" s="102" t="str">
        <x:f>IF(A26="","",IF(ISNUMBER(L26),IF(L26=0,"No Gap",IF(L26&gt;=6,"High",IF(L26&gt;=3,"Medium","Low"))),"Not assessed"))</x:f>
        <x:v>High</x:v>
      </x:c>
      <x:c r="N26" s="93" t="str">
        <x:v>Detection depends heavily on native platform alerts and manual review.</x:v>
      </x:c>
      <x:c r="O26" s="93" t="str">
        <x:v>Important account, endpoint, or cloud activity may not generate timely alerts.</x:v>
      </x:c>
      <x:c r="P26" s="93" t="str">
        <x:v>Define a small set of high-value detections for privileged access, malware, public exposure, and suspicious admin activity.</x:v>
      </x:c>
      <x:c r="Q26" s="93" t="str">
        <x:v>Security Manager</x:v>
      </x:c>
      <x:c r="R26" s="95" t="n">
        <x:v>46347</x:v>
      </x:c>
      <x:c r="S26" s="93" t="str">
        <x:v>Planned</x:v>
      </x:c>
      <x:c r="T26" s="93" t="str">
        <x:v>Native alerts and manual review are not a maintained detection program, supporting Ad hoc (1). A tested set of priority detections targets Mostly (3). Impact 3 reflects undetected harmful activity.</x:v>
      </x:c>
      <x:c r="U26" s="93" t="str">
        <x:v>Scenario only</x:v>
      </x:c>
      <x:c r="V26" s="93" t="str">
        <x:v>Detection inventory, alert rules, test cases, routing and response tickets.</x:v>
      </x:c>
      <x:c r="W26" s="95" t="n">
        <x:v>46298</x:v>
      </x:c>
      <x:c r="X26" s="93"/>
      <x:c r="Y26" s="102" t="str">
        <x:f>IF(COUNTA(A26:F26,H26,K26,N26:X26,AA26:AB26)=0,"",IF(A26="","Missing ID",IF(COUNTIF($A$5:$A$64,A26)&gt;1,"Duplicate ID",IF(OR(B26="",C26="",D26="",E26="",N26="",O26="",P26=""),"Missing assessment context",IF(NOT(ISNUMBER(L26)),"Incomplete or invalid scores",IF(OR(Q26="",NOT(OR(S26="Open",S26="Planned",S26="In Progress",S26="Monitor",S26="Closed",S26="Accepted"))),"Missing owner or invalid status",IF(NOT(ISNUMBER(R26)),"Missing or invalid target date",IF(R26&lt;=0,"Missing or invalid target date",IF(COUNTIFS(Lists!$J$2:$J$23,C26,Lists!$K$2:$K$23,B26)=0,"Category/function mismatch",IF(AND(ISNUMBER(J26),J26&gt;0,S26="Monitor"),"Gap needs action","OK"))))))))))</x:f>
        <x:v>OK</x:v>
      </x:c>
      <x:c r="Z26" s="102" t="str">
        <x:f>IF(A26="","",IF(OR(T26="",NOT(OR(U26="Scenario only",U26="Evidence requested",U26="Evidence reviewed")),V26="",NOT(ISNUMBER(W26)),AA26="",AB26=""),"Add assessment support",IF(OR(W26&lt;=0,W26&gt;Methodology!$B$25),"Review date outside period",IF(AND(OR(S26="Closed",S26="Accepted"),OR(X26="",U26&lt;&gt;"Evidence reviewed")),"Closure review needed",IF(OR(S26="Closed",S26="Accepted"),"Decision recorded",IF(U26="Evidence reviewed","Evidence recorded","Scenario documented"))))))</x:f>
        <x:v>Scenario documented</x:v>
      </x:c>
      <x:c r="AA26" s="93" t="str">
        <x:v>R-001, R-004, R-005, R-006, R-014, R-018, R-023, R-028</x:v>
      </x:c>
      <x:c r="AB26" s="93" t="str">
        <x:v>Test privileged-access, malware and exposure detections; verify the assigned responder receives and handles each alert.</x:v>
      </x:c>
    </x:row>
    <x:row r="27" ht="92" customHeight="1">
      <x:c r="A27" s="93" t="str">
        <x:v>GA-023</x:v>
      </x:c>
      <x:c r="B27" s="93" t="str">
        <x:v>Detect</x:v>
      </x:c>
      <x:c r="C27" s="93" t="str">
        <x:v>DE.AE</x:v>
      </x:c>
      <x:c r="D27" s="93" t="str">
        <x:v>Adverse Event Analysis</x:v>
      </x:c>
      <x:c r="E27" s="93" t="str">
        <x:v>Are alerts triaged using consistent severity, context, and escalation criteria?</x:v>
      </x:c>
      <x:c r="F27" s="93" t="str">
        <x:v>Partial</x:v>
      </x:c>
      <x:c r="G27" s="102" t="n">
        <x:f>IF(F27="","",IF(F27="Not in place",0,IF(F27="Ad hoc",1,IF(F27="Partial",2,IF(F27="Mostly",3,IF(F27="In place",4,""))))))</x:f>
        <x:v>2</x:v>
      </x:c>
      <x:c r="H27" s="93" t="str">
        <x:v>Mostly</x:v>
      </x:c>
      <x:c r="I27" s="102" t="n">
        <x:f>IF(H27="","",IF(H27="Not in place",0,IF(H27="Ad hoc",1,IF(H27="Partial",2,IF(H27="Mostly",3,IF(H27="In place",4,""))))))</x:f>
        <x:v>3</x:v>
      </x:c>
      <x:c r="J27" s="102" t="n">
        <x:f>IF(A27="","",IF(COUNT(G27,I27)=2,MAX(0,I27-G27),""))</x:f>
        <x:v>1</x:v>
      </x:c>
      <x:c r="K27" s="93" t="n">
        <x:v>2</x:v>
      </x:c>
      <x:c r="L27" s="102" t="n">
        <x:f>IF(A27="","",IF(COUNT(J27,K27)&lt;&gt;2,"",IF(AND(K27&gt;=1,K27&lt;=3,MOD(K27,1)=0),J27*K27,"")))</x:f>
        <x:v>2</x:v>
      </x:c>
      <x:c r="M27" s="102" t="str">
        <x:f>IF(A27="","",IF(ISNUMBER(L27),IF(L27=0,"No Gap",IF(L27&gt;=6,"High",IF(L27&gt;=3,"Medium","Low"))),"Not assessed"))</x:f>
        <x:v>Low</x:v>
      </x:c>
      <x:c r="N27" s="93" t="str">
        <x:v>Security events are investigated, but triage criteria are informal.</x:v>
      </x:c>
      <x:c r="O27" s="93" t="str">
        <x:v>Different analysts or teams could prioritize similar alerts differently.</x:v>
      </x:c>
      <x:c r="P27" s="93" t="str">
        <x:v>Create an alert-triage checklist and severity matrix.</x:v>
      </x:c>
      <x:c r="Q27" s="93" t="str">
        <x:v>Security Manager</x:v>
      </x:c>
      <x:c r="R27" s="95" t="n">
        <x:v>46362</x:v>
      </x:c>
      <x:c r="S27" s="93" t="str">
        <x:v>Planned</x:v>
      </x:c>
      <x:c r="T27" s="93" t="str">
        <x:v>Investigations occur but triage criteria are informal: Partial (2). Repeatable severity/context checks target Mostly (3). Impact 2 reflects inconsistent escalation and wasted response time.</x:v>
      </x:c>
      <x:c r="U27" s="93" t="str">
        <x:v>Scenario only</x:v>
      </x:c>
      <x:c r="V27" s="93" t="str">
        <x:v>Triage checklist, severity matrix, example alerts and escalation tickets.</x:v>
      </x:c>
      <x:c r="W27" s="95" t="n">
        <x:v>46298</x:v>
      </x:c>
      <x:c r="X27" s="93"/>
      <x:c r="Y27" s="102" t="str">
        <x:f>IF(COUNTA(A27:F27,H27,K27,N27:X27,AA27:AB27)=0,"",IF(A27="","Missing ID",IF(COUNTIF($A$5:$A$64,A27)&gt;1,"Duplicate ID",IF(OR(B27="",C27="",D27="",E27="",N27="",O27="",P27=""),"Missing assessment context",IF(NOT(ISNUMBER(L27)),"Incomplete or invalid scores",IF(OR(Q27="",NOT(OR(S27="Open",S27="Planned",S27="In Progress",S27="Monitor",S27="Closed",S27="Accepted"))),"Missing owner or invalid status",IF(NOT(ISNUMBER(R27)),"Missing or invalid target date",IF(R27&lt;=0,"Missing or invalid target date",IF(COUNTIFS(Lists!$J$2:$J$23,C27,Lists!$K$2:$K$23,B27)=0,"Category/function mismatch",IF(AND(ISNUMBER(J27),J27&gt;0,S27="Monitor"),"Gap needs action","OK"))))))))))</x:f>
        <x:v>OK</x:v>
      </x:c>
      <x:c r="Z27" s="102" t="str">
        <x:f>IF(A27="","",IF(OR(T27="",NOT(OR(U27="Scenario only",U27="Evidence requested",U27="Evidence reviewed")),V27="",NOT(ISNUMBER(W27)),AA27="",AB27=""),"Add assessment support",IF(OR(W27&lt;=0,W27&gt;Methodology!$B$25),"Review date outside period",IF(AND(OR(S27="Closed",S27="Accepted"),OR(X27="",U27&lt;&gt;"Evidence reviewed")),"Closure review needed",IF(OR(S27="Closed",S27="Accepted"),"Decision recorded",IF(U27="Evidence reviewed","Evidence recorded","Scenario documented"))))))</x:f>
        <x:v>Scenario documented</x:v>
      </x:c>
      <x:c r="AA27" s="93" t="str">
        <x:v>R-014</x:v>
      </x:c>
      <x:c r="AB27" s="93" t="str">
        <x:v>Have reviewers classify representative alerts using the same criteria and resolve material disagreements.</x:v>
      </x:c>
    </x:row>
    <x:row r="28" ht="92" customHeight="1">
      <x:c r="A28" s="93" t="str">
        <x:v>GA-024</x:v>
      </x:c>
      <x:c r="B28" s="93" t="str">
        <x:v>Detect</x:v>
      </x:c>
      <x:c r="C28" s="93" t="str">
        <x:v>DE.CM</x:v>
      </x:c>
      <x:c r="D28" s="93" t="str">
        <x:v>Continuous Monitoring</x:v>
      </x:c>
      <x:c r="E28" s="93" t="str">
        <x:v>Are log retention and time synchronization established for critical systems?</x:v>
      </x:c>
      <x:c r="F28" s="93" t="str">
        <x:v>In place</x:v>
      </x:c>
      <x:c r="G28" s="102" t="n">
        <x:f>IF(F28="","",IF(F28="Not in place",0,IF(F28="Ad hoc",1,IF(F28="Partial",2,IF(F28="Mostly",3,IF(F28="In place",4,""))))))</x:f>
        <x:v>4</x:v>
      </x:c>
      <x:c r="H28" s="93" t="str">
        <x:v>In place</x:v>
      </x:c>
      <x:c r="I28" s="102" t="n">
        <x:f>IF(H28="","",IF(H28="Not in place",0,IF(H28="Ad hoc",1,IF(H28="Partial",2,IF(H28="Mostly",3,IF(H28="In place",4,""))))))</x:f>
        <x:v>4</x:v>
      </x:c>
      <x:c r="J28" s="102" t="n">
        <x:f>IF(A28="","",IF(COUNT(G28,I28)=2,MAX(0,I28-G28),""))</x:f>
        <x:v>0</x:v>
      </x:c>
      <x:c r="K28" s="93" t="n">
        <x:v>2</x:v>
      </x:c>
      <x:c r="L28" s="102" t="n">
        <x:f>IF(A28="","",IF(COUNT(J28,K28)&lt;&gt;2,"",IF(AND(K28&gt;=1,K28&lt;=3,MOD(K28,1)=0),J28*K28,"")))</x:f>
        <x:v>0</x:v>
      </x:c>
      <x:c r="M28" s="102" t="str">
        <x:f>IF(A28="","",IF(ISNUMBER(L28),IF(L28=0,"No Gap",IF(L28&gt;=6,"High",IF(L28&gt;=3,"Medium","Low"))),"Not assessed"))</x:f>
        <x:v>No Gap</x:v>
      </x:c>
      <x:c r="N28" s="93" t="str">
        <x:v>For this scenario, required local log retention and time synchronization are configured on critical sources. Central collection and tamper protection are assessed separately.</x:v>
      </x:c>
      <x:c r="O28" s="93" t="str">
        <x:v>No material gap noted.</x:v>
      </x:c>
      <x:c r="P28" s="93" t="str">
        <x:v>Maintain configuration and validate during periodic logging reviews.</x:v>
      </x:c>
      <x:c r="Q28" s="93" t="str">
        <x:v>Security Manager</x:v>
      </x:c>
      <x:c r="R28" s="95" t="n">
        <x:v>46452</x:v>
      </x:c>
      <x:c r="S28" s="93" t="str">
        <x:v>Monitor</x:v>
      </x:c>
      <x:c r="T28" s="93" t="str">
        <x:v>The scenario assumes local retention periods and time synchronization are configured: In place (4), matching target. Impact 2 reflects investigation quality. This does not establish central collection or tamper protection.</x:v>
      </x:c>
      <x:c r="U28" s="93" t="str">
        <x:v>Scenario only</x:v>
      </x:c>
      <x:c r="V28" s="93" t="str">
        <x:v>Time-source settings, clock-drift checks, local retention configuration and sample event timestamps.</x:v>
      </x:c>
      <x:c r="W28" s="95" t="n">
        <x:v>46298</x:v>
      </x:c>
      <x:c r="X28" s="93"/>
      <x:c r="Y28" s="102" t="str">
        <x:f>IF(COUNTA(A28:F28,H28,K28,N28:X28,AA28:AB28)=0,"",IF(A28="","Missing ID",IF(COUNTIF($A$5:$A$64,A28)&gt;1,"Duplicate ID",IF(OR(B28="",C28="",D28="",E28="",N28="",O28="",P28=""),"Missing assessment context",IF(NOT(ISNUMBER(L28)),"Incomplete or invalid scores",IF(OR(Q28="",NOT(OR(S28="Open",S28="Planned",S28="In Progress",S28="Monitor",S28="Closed",S28="Accepted"))),"Missing owner or invalid status",IF(NOT(ISNUMBER(R28)),"Missing or invalid target date",IF(R28&lt;=0,"Missing or invalid target date",IF(COUNTIFS(Lists!$J$2:$J$23,C28,Lists!$K$2:$K$23,B28)=0,"Category/function mismatch",IF(AND(ISNUMBER(J28),J28&gt;0,S28="Monitor"),"Gap needs action","OK"))))))))))</x:f>
        <x:v>OK</x:v>
      </x:c>
      <x:c r="Z28" s="102" t="str">
        <x:f>IF(A28="","",IF(OR(T28="",NOT(OR(U28="Scenario only",U28="Evidence requested",U28="Evidence reviewed")),V28="",NOT(ISNUMBER(W28)),AA28="",AB28=""),"Add assessment support",IF(OR(W28&lt;=0,W28&gt;Methodology!$B$25),"Review date outside period",IF(AND(OR(S28="Closed",S28="Accepted"),OR(X28="",U28&lt;&gt;"Evidence reviewed")),"Closure review needed",IF(OR(S28="Closed",S28="Accepted"),"Decision recorded",IF(U28="Evidence reviewed","Evidence recorded","Scenario documented"))))))</x:f>
        <x:v>Scenario documented</x:v>
      </x:c>
      <x:c r="AA28" s="93" t="str">
        <x:v>R-026</x:v>
      </x:c>
      <x:c r="AB28" s="93" t="str">
        <x:v>Check time consistency and required retention on sampled critical sources; assess central forwarding and tamper protection separately.</x:v>
      </x:c>
    </x:row>
    <x:row r="29" ht="92" customHeight="1">
      <x:c r="A29" s="93" t="str">
        <x:v>GA-025</x:v>
      </x:c>
      <x:c r="B29" s="93" t="str">
        <x:v>Respond</x:v>
      </x:c>
      <x:c r="C29" s="93" t="str">
        <x:v>RS.MA</x:v>
      </x:c>
      <x:c r="D29" s="93" t="str">
        <x:v>Incident Management</x:v>
      </x:c>
      <x:c r="E29" s="93" t="str">
        <x:v>Is there an approved incident-response plan with roles, severity levels, and escalation paths?</x:v>
      </x:c>
      <x:c r="F29" s="93" t="str">
        <x:v>Partial</x:v>
      </x:c>
      <x:c r="G29" s="102" t="n">
        <x:f>IF(F29="","",IF(F29="Not in place",0,IF(F29="Ad hoc",1,IF(F29="Partial",2,IF(F29="Mostly",3,IF(F29="In place",4,""))))))</x:f>
        <x:v>2</x:v>
      </x:c>
      <x:c r="H29" s="93" t="str">
        <x:v>Mostly</x:v>
      </x:c>
      <x:c r="I29" s="102" t="n">
        <x:f>IF(H29="","",IF(H29="Not in place",0,IF(H29="Ad hoc",1,IF(H29="Partial",2,IF(H29="Mostly",3,IF(H29="In place",4,""))))))</x:f>
        <x:v>3</x:v>
      </x:c>
      <x:c r="J29" s="102" t="n">
        <x:f>IF(A29="","",IF(COUNT(G29,I29)=2,MAX(0,I29-G29),""))</x:f>
        <x:v>1</x:v>
      </x:c>
      <x:c r="K29" s="93" t="n">
        <x:v>3</x:v>
      </x:c>
      <x:c r="L29" s="102" t="n">
        <x:f>IF(A29="","",IF(COUNT(J29,K29)&lt;&gt;2,"",IF(AND(K29&gt;=1,K29&lt;=3,MOD(K29,1)=0),J29*K29,"")))</x:f>
        <x:v>3</x:v>
      </x:c>
      <x:c r="M29" s="102" t="str">
        <x:f>IF(A29="","",IF(ISNUMBER(L29),IF(L29=0,"No Gap",IF(L29&gt;=6,"High",IF(L29&gt;=3,"Medium","Low"))),"Not assessed"))</x:f>
        <x:v>Medium</x:v>
      </x:c>
      <x:c r="N29" s="93" t="str">
        <x:v>Key contacts and response knowledge exist, but the formal plan is incomplete.</x:v>
      </x:c>
      <x:c r="O29" s="93" t="str">
        <x:v>Response decisions could be inconsistent during a major incident.</x:v>
      </x:c>
      <x:c r="P29" s="93" t="str">
        <x:v>Complete and approve the incident-response plan with roles and severity criteria.</x:v>
      </x:c>
      <x:c r="Q29" s="93" t="str">
        <x:v>Security Manager</x:v>
      </x:c>
      <x:c r="R29" s="95" t="n">
        <x:v>46332</x:v>
      </x:c>
      <x:c r="S29" s="93" t="str">
        <x:v>In Progress</x:v>
      </x:c>
      <x:c r="T29" s="93" t="str">
        <x:v>Contacts and response knowledge exist but the plan is incomplete: Partial (2). Approved roles, severity and escalation target Mostly (3). Impact 3 reflects decision delays in serious incidents.</x:v>
      </x:c>
      <x:c r="U29" s="93" t="str">
        <x:v>Scenario only</x:v>
      </x:c>
      <x:c r="V29" s="93" t="str">
        <x:v>Incident plan, approval, role roster, severity definitions and escalation contacts.</x:v>
      </x:c>
      <x:c r="W29" s="95" t="n">
        <x:v>46298</x:v>
      </x:c>
      <x:c r="X29" s="93"/>
      <x:c r="Y29" s="102" t="str">
        <x:f>IF(COUNTA(A29:F29,H29,K29,N29:X29,AA29:AB29)=0,"",IF(A29="","Missing ID",IF(COUNTIF($A$5:$A$64,A29)&gt;1,"Duplicate ID",IF(OR(B29="",C29="",D29="",E29="",N29="",O29="",P29=""),"Missing assessment context",IF(NOT(ISNUMBER(L29)),"Incomplete or invalid scores",IF(OR(Q29="",NOT(OR(S29="Open",S29="Planned",S29="In Progress",S29="Monitor",S29="Closed",S29="Accepted"))),"Missing owner or invalid status",IF(NOT(ISNUMBER(R29)),"Missing or invalid target date",IF(R29&lt;=0,"Missing or invalid target date",IF(COUNTIFS(Lists!$J$2:$J$23,C29,Lists!$K$2:$K$23,B29)=0,"Category/function mismatch",IF(AND(ISNUMBER(J29),J29&gt;0,S29="Monitor"),"Gap needs action","OK"))))))))))</x:f>
        <x:v>OK</x:v>
      </x:c>
      <x:c r="Z29" s="102" t="str">
        <x:f>IF(A29="","",IF(OR(T29="",NOT(OR(U29="Scenario only",U29="Evidence requested",U29="Evidence reviewed")),V29="",NOT(ISNUMBER(W29)),AA29="",AB29=""),"Add assessment support",IF(OR(W29&lt;=0,W29&gt;Methodology!$B$25),"Review date outside period",IF(AND(OR(S29="Closed",S29="Accepted"),OR(X29="",U29&lt;&gt;"Evidence reviewed")),"Closure review needed",IF(OR(S29="Closed",S29="Accepted"),"Decision recorded",IF(U29="Evidence reviewed","Evidence recorded","Scenario documented"))))))</x:f>
        <x:v>Scenario documented</x:v>
      </x:c>
      <x:c r="AA29" s="93" t="str">
        <x:v>R-015</x:v>
      </x:c>
      <x:c r="AB29" s="93" t="str">
        <x:v>Walk through a major incident and verify authority, handoffs and escalation steps are usable and current.</x:v>
      </x:c>
    </x:row>
    <x:row r="30" ht="92" customHeight="1">
      <x:c r="A30" s="93" t="str">
        <x:v>GA-026</x:v>
      </x:c>
      <x:c r="B30" s="93" t="str">
        <x:v>Respond</x:v>
      </x:c>
      <x:c r="C30" s="93" t="str">
        <x:v>RS.MA</x:v>
      </x:c>
      <x:c r="D30" s="93" t="str">
        <x:v>Incident Management</x:v>
      </x:c>
      <x:c r="E30" s="93" t="str">
        <x:v>Are incident-response exercises performed and resulting actions tracked?</x:v>
      </x:c>
      <x:c r="F30" s="93" t="str">
        <x:v>Ad hoc</x:v>
      </x:c>
      <x:c r="G30" s="102" t="n">
        <x:f>IF(F30="","",IF(F30="Not in place",0,IF(F30="Ad hoc",1,IF(F30="Partial",2,IF(F30="Mostly",3,IF(F30="In place",4,""))))))</x:f>
        <x:v>1</x:v>
      </x:c>
      <x:c r="H30" s="93" t="str">
        <x:v>Mostly</x:v>
      </x:c>
      <x:c r="I30" s="102" t="n">
        <x:f>IF(H30="","",IF(H30="Not in place",0,IF(H30="Ad hoc",1,IF(H30="Partial",2,IF(H30="Mostly",3,IF(H30="In place",4,""))))))</x:f>
        <x:v>3</x:v>
      </x:c>
      <x:c r="J30" s="102" t="n">
        <x:f>IF(A30="","",IF(COUNT(G30,I30)=2,MAX(0,I30-G30),""))</x:f>
        <x:v>2</x:v>
      </x:c>
      <x:c r="K30" s="93" t="n">
        <x:v>3</x:v>
      </x:c>
      <x:c r="L30" s="102" t="n">
        <x:f>IF(A30="","",IF(COUNT(J30,K30)&lt;&gt;2,"",IF(AND(K30&gt;=1,K30&lt;=3,MOD(K30,1)=0),J30*K30,"")))</x:f>
        <x:v>6</x:v>
      </x:c>
      <x:c r="M30" s="102" t="str">
        <x:f>IF(A30="","",IF(ISNUMBER(L30),IF(L30=0,"No Gap",IF(L30&gt;=6,"High",IF(L30&gt;=3,"Medium","Low"))),"Not assessed"))</x:f>
        <x:v>High</x:v>
      </x:c>
      <x:c r="N30" s="93" t="str">
        <x:v>No recurring tabletop exercise cadence is established.</x:v>
      </x:c>
      <x:c r="O30" s="93" t="str">
        <x:v>The organization has limited evidence that the response plan works under pressure.</x:v>
      </x:c>
      <x:c r="P30" s="93" t="str">
        <x:v>Run a tabletop exercise and track corrective actions to closure.</x:v>
      </x:c>
      <x:c r="Q30" s="93" t="str">
        <x:v>Security Manager</x:v>
      </x:c>
      <x:c r="R30" s="95" t="n">
        <x:v>46362</x:v>
      </x:c>
      <x:c r="S30" s="93" t="str">
        <x:v>Planned</x:v>
      </x:c>
      <x:c r="T30" s="93" t="str">
        <x:v>Without a recurring exercise cadence, response validation is Ad hoc (1). A scheduled exercise with tracked corrections targets Mostly (3). Impact 3 reflects untested response under pressure.</x:v>
      </x:c>
      <x:c r="U30" s="93" t="str">
        <x:v>Scenario only</x:v>
      </x:c>
      <x:c r="V30" s="93" t="str">
        <x:v>Exercise schedule, scenario, attendee roles, decision log and corrective-action tracker.</x:v>
      </x:c>
      <x:c r="W30" s="95" t="n">
        <x:v>46298</x:v>
      </x:c>
      <x:c r="X30" s="93"/>
      <x:c r="Y30" s="102" t="str">
        <x:f>IF(COUNTA(A30:F30,H30,K30,N30:X30,AA30:AB30)=0,"",IF(A30="","Missing ID",IF(COUNTIF($A$5:$A$64,A30)&gt;1,"Duplicate ID",IF(OR(B30="",C30="",D30="",E30="",N30="",O30="",P30=""),"Missing assessment context",IF(NOT(ISNUMBER(L30)),"Incomplete or invalid scores",IF(OR(Q30="",NOT(OR(S30="Open",S30="Planned",S30="In Progress",S30="Monitor",S30="Closed",S30="Accepted"))),"Missing owner or invalid status",IF(NOT(ISNUMBER(R30)),"Missing or invalid target date",IF(R30&lt;=0,"Missing or invalid target date",IF(COUNTIFS(Lists!$J$2:$J$23,C30,Lists!$K$2:$K$23,B30)=0,"Category/function mismatch",IF(AND(ISNUMBER(J30),J30&gt;0,S30="Monitor"),"Gap needs action","OK"))))))))))</x:f>
        <x:v>OK</x:v>
      </x:c>
      <x:c r="Z30" s="102" t="str">
        <x:f>IF(A30="","",IF(OR(T30="",NOT(OR(U30="Scenario only",U30="Evidence requested",U30="Evidence reviewed")),V30="",NOT(ISNUMBER(W30)),AA30="",AB30=""),"Add assessment support",IF(OR(W30&lt;=0,W30&gt;Methodology!$B$25),"Review date outside period",IF(AND(OR(S30="Closed",S30="Accepted"),OR(X30="",U30&lt;&gt;"Evidence reviewed")),"Closure review needed",IF(OR(S30="Closed",S30="Accepted"),"Decision recorded",IF(U30="Evidence reviewed","Evidence recorded","Scenario documented"))))))</x:f>
        <x:v>Scenario documented</x:v>
      </x:c>
      <x:c r="AA30" s="93" t="str">
        <x:v>R-015</x:v>
      </x:c>
      <x:c r="AB30" s="93" t="str">
        <x:v>Run a tabletop, capture decisions and assign findings; retest important corrections rather than closing them on description alone.</x:v>
      </x:c>
    </x:row>
    <x:row r="31" ht="92" customHeight="1">
      <x:c r="A31" s="93" t="str">
        <x:v>GA-027</x:v>
      </x:c>
      <x:c r="B31" s="93" t="str">
        <x:v>Respond</x:v>
      </x:c>
      <x:c r="C31" s="93" t="str">
        <x:v>RS.CO</x:v>
      </x:c>
      <x:c r="D31" s="93" t="str">
        <x:v>Incident Response Reporting and Communication</x:v>
      </x:c>
      <x:c r="E31" s="93" t="str">
        <x:v>Are internal and external incident communications and contacts defined?</x:v>
      </x:c>
      <x:c r="F31" s="93" t="str">
        <x:v>Partial</x:v>
      </x:c>
      <x:c r="G31" s="102" t="n">
        <x:f>IF(F31="","",IF(F31="Not in place",0,IF(F31="Ad hoc",1,IF(F31="Partial",2,IF(F31="Mostly",3,IF(F31="In place",4,""))))))</x:f>
        <x:v>2</x:v>
      </x:c>
      <x:c r="H31" s="93" t="str">
        <x:v>Mostly</x:v>
      </x:c>
      <x:c r="I31" s="102" t="n">
        <x:f>IF(H31="","",IF(H31="Not in place",0,IF(H31="Ad hoc",1,IF(H31="Partial",2,IF(H31="Mostly",3,IF(H31="In place",4,""))))))</x:f>
        <x:v>3</x:v>
      </x:c>
      <x:c r="J31" s="102" t="n">
        <x:f>IF(A31="","",IF(COUNT(G31,I31)=2,MAX(0,I31-G31),""))</x:f>
        <x:v>1</x:v>
      </x:c>
      <x:c r="K31" s="93" t="n">
        <x:v>2</x:v>
      </x:c>
      <x:c r="L31" s="102" t="n">
        <x:f>IF(A31="","",IF(COUNT(J31,K31)&lt;&gt;2,"",IF(AND(K31&gt;=1,K31&lt;=3,MOD(K31,1)=0),J31*K31,"")))</x:f>
        <x:v>2</x:v>
      </x:c>
      <x:c r="M31" s="102" t="str">
        <x:f>IF(A31="","",IF(ISNUMBER(L31),IF(L31=0,"No Gap",IF(L31&gt;=6,"High",IF(L31&gt;=3,"Medium","Low"))),"Not assessed"))</x:f>
        <x:v>Low</x:v>
      </x:c>
      <x:c r="N31" s="93" t="str">
        <x:v>Management channels exist; security-specific notification criteria and contact lists are incomplete.</x:v>
      </x:c>
      <x:c r="O31" s="93" t="str">
        <x:v>Communication could be delayed during a fast-moving incident.</x:v>
      </x:c>
      <x:c r="P31" s="93" t="str">
        <x:v>Create an incident communication matrix and maintain current contact information.</x:v>
      </x:c>
      <x:c r="Q31" s="93" t="str">
        <x:v>CISO</x:v>
      </x:c>
      <x:c r="R31" s="95" t="n">
        <x:v>46362</x:v>
      </x:c>
      <x:c r="S31" s="93" t="str">
        <x:v>Planned</x:v>
      </x:c>
      <x:c r="T31" s="93" t="str">
        <x:v>Management channels exist but incident notification criteria are incomplete: Partial (2). A maintained communication matrix targets Mostly (3). Impact 2 reflects delayed or inconsistent notification.</x:v>
      </x:c>
      <x:c r="U31" s="93" t="str">
        <x:v>Scenario only</x:v>
      </x:c>
      <x:c r="V31" s="93" t="str">
        <x:v>Incident contacts, notification decision matrix, contract requirements and approved templates.</x:v>
      </x:c>
      <x:c r="W31" s="95" t="n">
        <x:v>46298</x:v>
      </x:c>
      <x:c r="X31" s="93"/>
      <x:c r="Y31" s="102" t="str">
        <x:f>IF(COUNTA(A31:F31,H31,K31,N31:X31,AA31:AB31)=0,"",IF(A31="","Missing ID",IF(COUNTIF($A$5:$A$64,A31)&gt;1,"Duplicate ID",IF(OR(B31="",C31="",D31="",E31="",N31="",O31="",P31=""),"Missing assessment context",IF(NOT(ISNUMBER(L31)),"Incomplete or invalid scores",IF(OR(Q31="",NOT(OR(S31="Open",S31="Planned",S31="In Progress",S31="Monitor",S31="Closed",S31="Accepted"))),"Missing owner or invalid status",IF(NOT(ISNUMBER(R31)),"Missing or invalid target date",IF(R31&lt;=0,"Missing or invalid target date",IF(COUNTIFS(Lists!$J$2:$J$23,C31,Lists!$K$2:$K$23,B31)=0,"Category/function mismatch",IF(AND(ISNUMBER(J31),J31&gt;0,S31="Monitor"),"Gap needs action","OK"))))))))))</x:f>
        <x:v>OK</x:v>
      </x:c>
      <x:c r="Z31" s="102" t="str">
        <x:f>IF(A31="","",IF(OR(T31="",NOT(OR(U31="Scenario only",U31="Evidence requested",U31="Evidence reviewed")),V31="",NOT(ISNUMBER(W31)),AA31="",AB31=""),"Add assessment support",IF(OR(W31&lt;=0,W31&gt;Methodology!$B$25),"Review date outside period",IF(AND(OR(S31="Closed",S31="Accepted"),OR(X31="",U31&lt;&gt;"Evidence reviewed")),"Closure review needed",IF(OR(S31="Closed",S31="Accepted"),"Decision recorded",IF(U31="Evidence reviewed","Evidence recorded","Scenario documented"))))))</x:f>
        <x:v>Scenario documented</x:v>
      </x:c>
      <x:c r="AA31" s="93" t="str">
        <x:v>R-015</x:v>
      </x:c>
      <x:c r="AB31" s="93" t="str">
        <x:v>Rehearse who authorizes and sends each notification; confirm contacts and requirements with the responsible business/legal owners.</x:v>
      </x:c>
    </x:row>
    <x:row r="32" ht="92" customHeight="1">
      <x:c r="A32" s="93" t="str">
        <x:v>GA-028</x:v>
      </x:c>
      <x:c r="B32" s="93" t="str">
        <x:v>Respond</x:v>
      </x:c>
      <x:c r="C32" s="93" t="str">
        <x:v>RS.MI</x:v>
      </x:c>
      <x:c r="D32" s="93" t="str">
        <x:v>Incident Mitigation</x:v>
      </x:c>
      <x:c r="E32" s="93" t="str">
        <x:v>Are containment and eradication steps documented for common incident types?</x:v>
      </x:c>
      <x:c r="F32" s="93" t="str">
        <x:v>Partial</x:v>
      </x:c>
      <x:c r="G32" s="102" t="n">
        <x:f>IF(F32="","",IF(F32="Not in place",0,IF(F32="Ad hoc",1,IF(F32="Partial",2,IF(F32="Mostly",3,IF(F32="In place",4,""))))))</x:f>
        <x:v>2</x:v>
      </x:c>
      <x:c r="H32" s="93" t="str">
        <x:v>Mostly</x:v>
      </x:c>
      <x:c r="I32" s="102" t="n">
        <x:f>IF(H32="","",IF(H32="Not in place",0,IF(H32="Ad hoc",1,IF(H32="Partial",2,IF(H32="Mostly",3,IF(H32="In place",4,""))))))</x:f>
        <x:v>3</x:v>
      </x:c>
      <x:c r="J32" s="102" t="n">
        <x:f>IF(A32="","",IF(COUNT(G32,I32)=2,MAX(0,I32-G32),""))</x:f>
        <x:v>1</x:v>
      </x:c>
      <x:c r="K32" s="93" t="n">
        <x:v>3</x:v>
      </x:c>
      <x:c r="L32" s="102" t="n">
        <x:f>IF(A32="","",IF(COUNT(J32,K32)&lt;&gt;2,"",IF(AND(K32&gt;=1,K32&lt;=3,MOD(K32,1)=0),J32*K32,"")))</x:f>
        <x:v>3</x:v>
      </x:c>
      <x:c r="M32" s="102" t="str">
        <x:f>IF(A32="","",IF(ISNUMBER(L32),IF(L32=0,"No Gap",IF(L32&gt;=6,"High",IF(L32&gt;=3,"Medium","Low"))),"Not assessed"))</x:f>
        <x:v>Medium</x:v>
      </x:c>
      <x:c r="N32" s="93" t="str">
        <x:v>Teams can disable accounts and isolate devices; common response playbooks are limited.</x:v>
      </x:c>
      <x:c r="O32" s="93" t="str">
        <x:v>Repeat incidents may require teams to reconstruct response steps each time.</x:v>
      </x:c>
      <x:c r="P32" s="93" t="str">
        <x:v>Create concise playbooks for phishing/account compromise, ransomware, exposed secrets, and lost devices.</x:v>
      </x:c>
      <x:c r="Q32" s="93" t="str">
        <x:v>Security Manager</x:v>
      </x:c>
      <x:c r="R32" s="95" t="n">
        <x:v>46362</x:v>
      </x:c>
      <x:c r="S32" s="93" t="str">
        <x:v>Planned</x:v>
      </x:c>
      <x:c r="T32" s="93" t="str">
        <x:v>Teams can disable accounts and isolate devices but playbooks are limited: Partial (2). Repeatable containment/eradication steps target Mostly (3). Impact 3 reflects ongoing attacker access or reinfection.</x:v>
      </x:c>
      <x:c r="U32" s="93" t="str">
        <x:v>Scenario only</x:v>
      </x:c>
      <x:c r="V32" s="93" t="str">
        <x:v>Response playbooks, authorization rules, isolation capability and exercise evidence.</x:v>
      </x:c>
      <x:c r="W32" s="95" t="n">
        <x:v>46298</x:v>
      </x:c>
      <x:c r="X32" s="93"/>
      <x:c r="Y32" s="102" t="str">
        <x:f>IF(COUNTA(A32:F32,H32,K32,N32:X32,AA32:AB32)=0,"",IF(A32="","Missing ID",IF(COUNTIF($A$5:$A$64,A32)&gt;1,"Duplicate ID",IF(OR(B32="",C32="",D32="",E32="",N32="",O32="",P32=""),"Missing assessment context",IF(NOT(ISNUMBER(L32)),"Incomplete or invalid scores",IF(OR(Q32="",NOT(OR(S32="Open",S32="Planned",S32="In Progress",S32="Monitor",S32="Closed",S32="Accepted"))),"Missing owner or invalid status",IF(NOT(ISNUMBER(R32)),"Missing or invalid target date",IF(R32&lt;=0,"Missing or invalid target date",IF(COUNTIFS(Lists!$J$2:$J$23,C32,Lists!$K$2:$K$23,B32)=0,"Category/function mismatch",IF(AND(ISNUMBER(J32),J32&gt;0,S32="Monitor"),"Gap needs action","OK"))))))))))</x:f>
        <x:v>OK</x:v>
      </x:c>
      <x:c r="Z32" s="102" t="str">
        <x:f>IF(A32="","",IF(OR(T32="",NOT(OR(U32="Scenario only",U32="Evidence requested",U32="Evidence reviewed")),V32="",NOT(ISNUMBER(W32)),AA32="",AB32=""),"Add assessment support",IF(OR(W32&lt;=0,W32&gt;Methodology!$B$25),"Review date outside period",IF(AND(OR(S32="Closed",S32="Accepted"),OR(X32="",U32&lt;&gt;"Evidence reviewed")),"Closure review needed",IF(OR(S32="Closed",S32="Accepted"),"Decision recorded",IF(U32="Evidence reviewed","Evidence recorded","Scenario documented"))))))</x:f>
        <x:v>Scenario documented</x:v>
      </x:c>
      <x:c r="AA32" s="93" t="str">
        <x:v>R-006, R-007, R-015, R-018, R-023</x:v>
      </x:c>
      <x:c r="AB32" s="93" t="str">
        <x:v>Exercise account revocation and endpoint isolation safely; verify preservation, eradication checks and controlled return to service.</x:v>
      </x:c>
    </x:row>
    <x:row r="33" ht="92" customHeight="1">
      <x:c r="A33" s="93" t="str">
        <x:v>GA-029</x:v>
      </x:c>
      <x:c r="B33" s="93" t="str">
        <x:v>Recover</x:v>
      </x:c>
      <x:c r="C33" s="93" t="str">
        <x:v>RC.RP</x:v>
      </x:c>
      <x:c r="D33" s="93" t="str">
        <x:v>Incident Recovery Plan Execution</x:v>
      </x:c>
      <x:c r="E33" s="93" t="str">
        <x:v>Are recovery objectives and procedures documented and tested for critical services?</x:v>
      </x:c>
      <x:c r="F33" s="93" t="str">
        <x:v>Partial</x:v>
      </x:c>
      <x:c r="G33" s="102" t="n">
        <x:f>IF(F33="","",IF(F33="Not in place",0,IF(F33="Ad hoc",1,IF(F33="Partial",2,IF(F33="Mostly",3,IF(F33="In place",4,""))))))</x:f>
        <x:v>2</x:v>
      </x:c>
      <x:c r="H33" s="93" t="str">
        <x:v>Mostly</x:v>
      </x:c>
      <x:c r="I33" s="102" t="n">
        <x:f>IF(H33="","",IF(H33="Not in place",0,IF(H33="Ad hoc",1,IF(H33="Partial",2,IF(H33="Mostly",3,IF(H33="In place",4,""))))))</x:f>
        <x:v>3</x:v>
      </x:c>
      <x:c r="J33" s="102" t="n">
        <x:f>IF(A33="","",IF(COUNT(G33,I33)=2,MAX(0,I33-G33),""))</x:f>
        <x:v>1</x:v>
      </x:c>
      <x:c r="K33" s="93" t="n">
        <x:v>3</x:v>
      </x:c>
      <x:c r="L33" s="102" t="n">
        <x:f>IF(A33="","",IF(COUNT(J33,K33)&lt;&gt;2,"",IF(AND(K33&gt;=1,K33&lt;=3,MOD(K33,1)=0),J33*K33,"")))</x:f>
        <x:v>3</x:v>
      </x:c>
      <x:c r="M33" s="102" t="str">
        <x:f>IF(A33="","",IF(ISNUMBER(L33),IF(L33=0,"No Gap",IF(L33&gt;=6,"High",IF(L33&gt;=3,"Medium","Low"))),"Not assessed"))</x:f>
        <x:v>Medium</x:v>
      </x:c>
      <x:c r="N33" s="93" t="str">
        <x:v>Backups and technical recovery steps exist; business-approved RTO/RPO and end-to-end testing are incomplete.</x:v>
      </x:c>
      <x:c r="O33" s="93" t="str">
        <x:v>Recovery time may not match business expectations during a major outage.</x:v>
      </x:c>
      <x:c r="P33" s="93" t="str">
        <x:v>Define RTO/RPO and test recovery of critical services against them.</x:v>
      </x:c>
      <x:c r="Q33" s="93" t="str">
        <x:v>Operations Manager</x:v>
      </x:c>
      <x:c r="R33" s="95" t="n">
        <x:v>46392</x:v>
      </x:c>
      <x:c r="S33" s="93" t="str">
        <x:v>Planned</x:v>
      </x:c>
      <x:c r="T33" s="93" t="str">
        <x:v>Technical recovery steps exist but business-approved objectives and end-to-end tests are incomplete: Partial (2). Defined objectives and tested recovery target Mostly (3). Impact 3 reflects service disruption and data loss.</x:v>
      </x:c>
      <x:c r="U33" s="93" t="str">
        <x:v>Scenario only</x:v>
      </x:c>
      <x:c r="V33" s="93" t="str">
        <x:v>Business impact analysis, RTO/RPO approvals, recovery runbooks, dependencies and test reports.</x:v>
      </x:c>
      <x:c r="W33" s="95" t="n">
        <x:v>46298</x:v>
      </x:c>
      <x:c r="X33" s="93"/>
      <x:c r="Y33" s="102" t="str">
        <x:f>IF(COUNTA(A33:F33,H33,K33,N33:X33,AA33:AB33)=0,"",IF(A33="","Missing ID",IF(COUNTIF($A$5:$A$64,A33)&gt;1,"Duplicate ID",IF(OR(B33="",C33="",D33="",E33="",N33="",O33="",P33=""),"Missing assessment context",IF(NOT(ISNUMBER(L33)),"Incomplete or invalid scores",IF(OR(Q33="",NOT(OR(S33="Open",S33="Planned",S33="In Progress",S33="Monitor",S33="Closed",S33="Accepted"))),"Missing owner or invalid status",IF(NOT(ISNUMBER(R33)),"Missing or invalid target date",IF(R33&lt;=0,"Missing or invalid target date",IF(COUNTIFS(Lists!$J$2:$J$23,C33,Lists!$K$2:$K$23,B33)=0,"Category/function mismatch",IF(AND(ISNUMBER(J33),J33&gt;0,S33="Monitor"),"Gap needs action","OK"))))))))))</x:f>
        <x:v>OK</x:v>
      </x:c>
      <x:c r="Z33" s="102" t="str">
        <x:f>IF(A33="","",IF(OR(T33="",NOT(OR(U33="Scenario only",U33="Evidence requested",U33="Evidence reviewed")),V33="",NOT(ISNUMBER(W33)),AA33="",AB33=""),"Add assessment support",IF(OR(W33&lt;=0,W33&gt;Methodology!$B$25),"Review date outside period",IF(AND(OR(S33="Closed",S33="Accepted"),OR(X33="",U33&lt;&gt;"Evidence reviewed")),"Closure review needed",IF(OR(S33="Closed",S33="Accepted"),"Decision recorded",IF(U33="Evidence reviewed","Evidence recorded","Scenario documented"))))))</x:f>
        <x:v>Scenario documented</x:v>
      </x:c>
      <x:c r="AA33" s="93" t="str">
        <x:v>R-012, R-016, R-017, R-029</x:v>
      </x:c>
      <x:c r="AB33" s="93" t="str">
        <x:v>Recover a representative critical service and compare measured time and data loss with approved objectives.</x:v>
      </x:c>
    </x:row>
    <x:row r="34" ht="92" customHeight="1">
      <x:c r="A34" s="93" t="str">
        <x:v>GA-030</x:v>
      </x:c>
      <x:c r="B34" s="93" t="str">
        <x:v>Recover</x:v>
      </x:c>
      <x:c r="C34" s="93" t="str">
        <x:v>RC.CO</x:v>
      </x:c>
      <x:c r="D34" s="93" t="str">
        <x:v>Incident Recovery Communication</x:v>
      </x:c>
      <x:c r="E34" s="93" t="str">
        <x:v>Are stakeholder communications defined for service restoration and return to normal operations?</x:v>
      </x:c>
      <x:c r="F34" s="93" t="str">
        <x:v>Mostly</x:v>
      </x:c>
      <x:c r="G34" s="102" t="n">
        <x:f>IF(F34="","",IF(F34="Not in place",0,IF(F34="Ad hoc",1,IF(F34="Partial",2,IF(F34="Mostly",3,IF(F34="In place",4,""))))))</x:f>
        <x:v>3</x:v>
      </x:c>
      <x:c r="H34" s="93" t="str">
        <x:v>Mostly</x:v>
      </x:c>
      <x:c r="I34" s="102" t="n">
        <x:f>IF(H34="","",IF(H34="Not in place",0,IF(H34="Ad hoc",1,IF(H34="Partial",2,IF(H34="Mostly",3,IF(H34="In place",4,""))))))</x:f>
        <x:v>3</x:v>
      </x:c>
      <x:c r="J34" s="102" t="n">
        <x:f>IF(A34="","",IF(COUNT(G34,I34)=2,MAX(0,I34-G34),""))</x:f>
        <x:v>0</x:v>
      </x:c>
      <x:c r="K34" s="93" t="n">
        <x:v>2</x:v>
      </x:c>
      <x:c r="L34" s="102" t="n">
        <x:f>IF(A34="","",IF(COUNT(J34,K34)&lt;&gt;2,"",IF(AND(K34&gt;=1,K34&lt;=3,MOD(K34,1)=0),J34*K34,"")))</x:f>
        <x:v>0</x:v>
      </x:c>
      <x:c r="M34" s="102" t="str">
        <x:f>IF(A34="","",IF(ISNUMBER(L34),IF(L34=0,"No Gap",IF(L34&gt;=6,"High",IF(L34&gt;=3,"Medium","Low"))),"Not assessed"))</x:f>
        <x:v>No Gap</x:v>
      </x:c>
      <x:c r="N34" s="93" t="str">
        <x:v>Business communication channels and customer-status processes are established.</x:v>
      </x:c>
      <x:c r="O34" s="93" t="str">
        <x:v>No material gap noted for the current target.</x:v>
      </x:c>
      <x:c r="P34" s="93" t="str">
        <x:v>Maintain templates and verify contacts during recovery exercises.</x:v>
      </x:c>
      <x:c r="Q34" s="93" t="str">
        <x:v>CISO</x:v>
      </x:c>
      <x:c r="R34" s="95" t="n">
        <x:v>46452</x:v>
      </x:c>
      <x:c r="S34" s="93" t="str">
        <x:v>Monitor</x:v>
      </x:c>
      <x:c r="T34" s="93" t="str">
        <x:v>Customer-status processes and business communication channels are established, supporting Mostly (3), matching target. Impact 2 reflects coordination during restoration. No-gap status still requires periodic maintenance.</x:v>
      </x:c>
      <x:c r="U34" s="93" t="str">
        <x:v>Scenario only</x:v>
      </x:c>
      <x:c r="V34" s="93" t="str">
        <x:v>Restoration templates, status-page process, stakeholder contacts and communication responsibilities.</x:v>
      </x:c>
      <x:c r="W34" s="95" t="n">
        <x:v>46298</x:v>
      </x:c>
      <x:c r="X34" s="93"/>
      <x:c r="Y34" s="102" t="str">
        <x:f>IF(COUNTA(A34:F34,H34,K34,N34:X34,AA34:AB34)=0,"",IF(A34="","Missing ID",IF(COUNTIF($A$5:$A$64,A34)&gt;1,"Duplicate ID",IF(OR(B34="",C34="",D34="",E34="",N34="",O34="",P34=""),"Missing assessment context",IF(NOT(ISNUMBER(L34)),"Incomplete or invalid scores",IF(OR(Q34="",NOT(OR(S34="Open",S34="Planned",S34="In Progress",S34="Monitor",S34="Closed",S34="Accepted"))),"Missing owner or invalid status",IF(NOT(ISNUMBER(R34)),"Missing or invalid target date",IF(R34&lt;=0,"Missing or invalid target date",IF(COUNTIFS(Lists!$J$2:$J$23,C34,Lists!$K$2:$K$23,B34)=0,"Category/function mismatch",IF(AND(ISNUMBER(J34),J34&gt;0,S34="Monitor"),"Gap needs action","OK"))))))))))</x:f>
        <x:v>OK</x:v>
      </x:c>
      <x:c r="Z34" s="102" t="str">
        <x:f>IF(A34="","",IF(OR(T34="",NOT(OR(U34="Scenario only",U34="Evidence requested",U34="Evidence reviewed")),V34="",NOT(ISNUMBER(W34)),AA34="",AB34=""),"Add assessment support",IF(OR(W34&lt;=0,W34&gt;Methodology!$B$25),"Review date outside period",IF(AND(OR(S34="Closed",S34="Accepted"),OR(X34="",U34&lt;&gt;"Evidence reviewed")),"Closure review needed",IF(OR(S34="Closed",S34="Accepted"),"Decision recorded",IF(U34="Evidence reviewed","Evidence recorded","Scenario documented"))))))</x:f>
        <x:v>Scenario documented</x:v>
      </x:c>
      <x:c r="AA34" s="93" t="str">
        <x:v>R-017, R-029</x:v>
      </x:c>
      <x:c r="AB34" s="93" t="str">
        <x:v>Rehearse a restoration update and verify approval, audience and current contacts; update templates when services change.</x:v>
      </x:c>
    </x:row>
    <x:row r="35" ht="92" customHeight="1">
      <x:c r="A35" s="93" t="str">
        <x:v>GA-031</x:v>
      </x:c>
      <x:c r="B35" s="93" t="str">
        <x:v>Respond</x:v>
      </x:c>
      <x:c r="C35" s="93" t="str">
        <x:v>RS.AN</x:v>
      </x:c>
      <x:c r="D35" s="93" t="str">
        <x:v>Incident Analysis</x:v>
      </x:c>
      <x:c r="E35" s="93" t="str">
        <x:v>Are incidents analyzed to establish scope, cause and a reliable timeline while preserving evidence?</x:v>
      </x:c>
      <x:c r="F35" s="93" t="str">
        <x:v>Ad hoc</x:v>
      </x:c>
      <x:c r="G35" s="102" t="n">
        <x:f>IF(F35="","",IF(F35="Not in place",0,IF(F35="Ad hoc",1,IF(F35="Partial",2,IF(F35="Mostly",3,IF(F35="In place",4,""))))))</x:f>
        <x:v>1</x:v>
      </x:c>
      <x:c r="H35" s="93" t="str">
        <x:v>Mostly</x:v>
      </x:c>
      <x:c r="I35" s="102" t="n">
        <x:f>IF(H35="","",IF(H35="Not in place",0,IF(H35="Ad hoc",1,IF(H35="Partial",2,IF(H35="Mostly",3,IF(H35="In place",4,""))))))</x:f>
        <x:v>3</x:v>
      </x:c>
      <x:c r="J35" s="102" t="n">
        <x:f>IF(A35="","",IF(COUNT(G35,I35)=2,MAX(0,I35-G35),""))</x:f>
        <x:v>2</x:v>
      </x:c>
      <x:c r="K35" s="93" t="n">
        <x:v>3</x:v>
      </x:c>
      <x:c r="L35" s="102" t="n">
        <x:f>IF(A35="","",IF(COUNT(J35,K35)&lt;&gt;2,"",IF(AND(K35&gt;=1,K35&lt;=3,MOD(K35,1)=0),J35*K35,"")))</x:f>
        <x:v>6</x:v>
      </x:c>
      <x:c r="M35" s="102" t="str">
        <x:f>IF(A35="","",IF(ISNUMBER(L35),IF(L35=0,"No Gap",IF(L35&gt;=6,"High",IF(L35&gt;=3,"Medium","Low"))),"Not assessed"))</x:f>
        <x:v>High</x:v>
      </x:c>
      <x:c r="N35" s="93" t="str">
        <x:v>Teams investigate individual alerts, but case timelines, cause analysis and evidence handling are not standardized.</x:v>
      </x:c>
      <x:c r="O35" s="93" t="str">
        <x:v>The team may underestimate incident scope or repeat the same weakness after restoration.</x:v>
      </x:c>
      <x:c r="P35" s="93" t="str">
        <x:v>Define an incident-analysis procedure covering timeline, affected assets, cause, evidence handling and corrective actions.</x:v>
      </x:c>
      <x:c r="Q35" s="93" t="str">
        <x:v>Security Manager</x:v>
      </x:c>
      <x:c r="R35" s="95" t="n">
        <x:v>46358</x:v>
      </x:c>
      <x:c r="S35" s="93" t="str">
        <x:v>Planned</x:v>
      </x:c>
      <x:c r="T35" s="93" t="str">
        <x:v>Informal event investigation without a repeatable timeline or cause analysis supports Ad hoc (1). Documented analysis and evidence handling target Mostly (3). Impact 3 reflects incomplete scoping and repeated compromise.</x:v>
      </x:c>
      <x:c r="U35" s="93" t="str">
        <x:v>Scenario only</x:v>
      </x:c>
      <x:c r="V35" s="93" t="str">
        <x:v>Investigation procedure, case timeline, affected-asset list, evidence handling records and root-cause notes.</x:v>
      </x:c>
      <x:c r="W35" s="95" t="n">
        <x:v>46298</x:v>
      </x:c>
      <x:c r="X35" s="93"/>
      <x:c r="Y35" s="102" t="str">
        <x:f>IF(COUNTA(A35:F35,H35,K35,N35:X35,AA35:AB35)=0,"",IF(A35="","Missing ID",IF(COUNTIF($A$5:$A$64,A35)&gt;1,"Duplicate ID",IF(OR(B35="",C35="",D35="",E35="",N35="",O35="",P35=""),"Missing assessment context",IF(NOT(ISNUMBER(L35)),"Incomplete or invalid scores",IF(OR(Q35="",NOT(OR(S35="Open",S35="Planned",S35="In Progress",S35="Monitor",S35="Closed",S35="Accepted"))),"Missing owner or invalid status",IF(NOT(ISNUMBER(R35)),"Missing or invalid target date",IF(R35&lt;=0,"Missing or invalid target date",IF(COUNTIFS(Lists!$J$2:$J$23,C35,Lists!$K$2:$K$23,B35)=0,"Category/function mismatch",IF(AND(ISNUMBER(J35),J35&gt;0,S35="Monitor"),"Gap needs action","OK"))))))))))</x:f>
        <x:v>OK</x:v>
      </x:c>
      <x:c r="Z35" s="102" t="str">
        <x:f>IF(A35="","",IF(OR(T35="",NOT(OR(U35="Scenario only",U35="Evidence requested",U35="Evidence reviewed")),V35="",NOT(ISNUMBER(W35)),AA35="",AB35=""),"Add assessment support",IF(OR(W35&lt;=0,W35&gt;Methodology!$B$25),"Review date outside period",IF(AND(OR(S35="Closed",S35="Accepted"),OR(X35="",U35&lt;&gt;"Evidence reviewed")),"Closure review needed",IF(OR(S35="Closed",S35="Accepted"),"Decision recorded",IF(U35="Evidence reviewed","Evidence recorded","Scenario documented"))))))</x:f>
        <x:v>Scenario documented</x:v>
      </x:c>
      <x:c r="AA35" s="93" t="str">
        <x:v>R-014, R-015, R-026</x:v>
      </x:c>
      <x:c r="AB35" s="93" t="str">
        <x:v>Run a synthetic incident analysis: establish a timeline, scope affected assets, preserve evidence, document cause and route corrective actions.</x:v>
      </x:c>
    </x:row>
    <x:row r="36" ht="40" customHeight="1">
      <x:c r="A36" s="93"/>
      <x:c r="B36" s="93"/>
      <x:c r="C36" s="93"/>
      <x:c r="D36" s="93"/>
      <x:c r="E36" s="93"/>
      <x:c r="F36" s="93"/>
      <x:c r="G36" s="102" t="str">
        <x:f>IF(F36="","",IF(F36="Not in place",0,IF(F36="Ad hoc",1,IF(F36="Partial",2,IF(F36="Mostly",3,IF(F36="In place",4,""))))))</x:f>
      </x:c>
      <x:c r="H36" s="93"/>
      <x:c r="I36" s="102" t="str">
        <x:f>IF(H36="","",IF(H36="Not in place",0,IF(H36="Ad hoc",1,IF(H36="Partial",2,IF(H36="Mostly",3,IF(H36="In place",4,""))))))</x:f>
      </x:c>
      <x:c r="J36" s="102" t="str">
        <x:f>IF(A36="","",IF(COUNT(G36,I36)=2,MAX(0,I36-G36),""))</x:f>
      </x:c>
      <x:c r="K36" s="93"/>
      <x:c r="L36" s="102" t="str">
        <x:f>IF(A36="","",IF(COUNT(J36,K36)&lt;&gt;2,"",IF(AND(K36&gt;=1,K36&lt;=3,MOD(K36,1)=0),J36*K36,"")))</x:f>
      </x:c>
      <x:c r="M36" s="102" t="str">
        <x:f>IF(A36="","",IF(ISNUMBER(L36),IF(L36=0,"No Gap",IF(L36&gt;=6,"High",IF(L36&gt;=3,"Medium","Low"))),"Not assessed"))</x:f>
      </x:c>
      <x:c r="N36" s="93"/>
      <x:c r="O36" s="93"/>
      <x:c r="P36" s="93"/>
      <x:c r="Q36" s="93"/>
      <x:c r="R36" s="95"/>
      <x:c r="S36" s="93"/>
      <x:c r="T36" s="93"/>
      <x:c r="U36" s="93"/>
      <x:c r="V36" s="93"/>
      <x:c r="W36" s="95"/>
      <x:c r="X36" s="93"/>
      <x:c r="Y36" s="102" t="str">
        <x:f>IF(COUNTA(A36:F36,H36,K36,N36:X36,AA36:AB36)=0,"",IF(A36="","Missing ID",IF(COUNTIF($A$5:$A$64,A36)&gt;1,"Duplicate ID",IF(OR(B36="",C36="",D36="",E36="",N36="",O36="",P36=""),"Missing assessment context",IF(NOT(ISNUMBER(L36)),"Incomplete or invalid scores",IF(OR(Q36="",NOT(OR(S36="Open",S36="Planned",S36="In Progress",S36="Monitor",S36="Closed",S36="Accepted"))),"Missing owner or invalid status",IF(NOT(ISNUMBER(R36)),"Missing or invalid target date",IF(R36&lt;=0,"Missing or invalid target date",IF(COUNTIFS(Lists!$J$2:$J$23,C36,Lists!$K$2:$K$23,B36)=0,"Category/function mismatch",IF(AND(ISNUMBER(J36),J36&gt;0,S36="Monitor"),"Gap needs action","OK"))))))))))</x:f>
      </x:c>
      <x:c r="Z36" s="102" t="str">
        <x:f>IF(A36="","",IF(OR(T36="",NOT(OR(U36="Scenario only",U36="Evidence requested",U36="Evidence reviewed")),V36="",NOT(ISNUMBER(W36)),AA36="",AB36=""),"Add assessment support",IF(OR(W36&lt;=0,W36&gt;Methodology!$B$25),"Review date outside period",IF(AND(OR(S36="Closed",S36="Accepted"),OR(X36="",U36&lt;&gt;"Evidence reviewed")),"Closure review needed",IF(OR(S36="Closed",S36="Accepted"),"Decision recorded",IF(U36="Evidence reviewed","Evidence recorded","Scenario documented"))))))</x:f>
      </x:c>
      <x:c r="AA36" s="93"/>
      <x:c r="AB36" s="93"/>
    </x:row>
    <x:row r="37" ht="40" customHeight="1">
      <x:c r="A37" s="93"/>
      <x:c r="B37" s="93"/>
      <x:c r="C37" s="93"/>
      <x:c r="D37" s="93"/>
      <x:c r="E37" s="93"/>
      <x:c r="F37" s="93"/>
      <x:c r="G37" s="102" t="str">
        <x:f>IF(F37="","",IF(F37="Not in place",0,IF(F37="Ad hoc",1,IF(F37="Partial",2,IF(F37="Mostly",3,IF(F37="In place",4,""))))))</x:f>
      </x:c>
      <x:c r="H37" s="93"/>
      <x:c r="I37" s="102" t="str">
        <x:f>IF(H37="","",IF(H37="Not in place",0,IF(H37="Ad hoc",1,IF(H37="Partial",2,IF(H37="Mostly",3,IF(H37="In place",4,""))))))</x:f>
      </x:c>
      <x:c r="J37" s="102" t="str">
        <x:f>IF(A37="","",IF(COUNT(G37,I37)=2,MAX(0,I37-G37),""))</x:f>
      </x:c>
      <x:c r="K37" s="93"/>
      <x:c r="L37" s="102" t="str">
        <x:f>IF(A37="","",IF(COUNT(J37,K37)&lt;&gt;2,"",IF(AND(K37&gt;=1,K37&lt;=3,MOD(K37,1)=0),J37*K37,"")))</x:f>
      </x:c>
      <x:c r="M37" s="102" t="str">
        <x:f>IF(A37="","",IF(ISNUMBER(L37),IF(L37=0,"No Gap",IF(L37&gt;=6,"High",IF(L37&gt;=3,"Medium","Low"))),"Not assessed"))</x:f>
      </x:c>
      <x:c r="N37" s="93"/>
      <x:c r="O37" s="93"/>
      <x:c r="P37" s="93"/>
      <x:c r="Q37" s="93"/>
      <x:c r="R37" s="95"/>
      <x:c r="S37" s="93"/>
      <x:c r="T37" s="93"/>
      <x:c r="U37" s="93"/>
      <x:c r="V37" s="93"/>
      <x:c r="W37" s="95"/>
      <x:c r="X37" s="93"/>
      <x:c r="Y37" s="102" t="str">
        <x:f>IF(COUNTA(A37:F37,H37,K37,N37:X37,AA37:AB37)=0,"",IF(A37="","Missing ID",IF(COUNTIF($A$5:$A$64,A37)&gt;1,"Duplicate ID",IF(OR(B37="",C37="",D37="",E37="",N37="",O37="",P37=""),"Missing assessment context",IF(NOT(ISNUMBER(L37)),"Incomplete or invalid scores",IF(OR(Q37="",NOT(OR(S37="Open",S37="Planned",S37="In Progress",S37="Monitor",S37="Closed",S37="Accepted"))),"Missing owner or invalid status",IF(NOT(ISNUMBER(R37)),"Missing or invalid target date",IF(R37&lt;=0,"Missing or invalid target date",IF(COUNTIFS(Lists!$J$2:$J$23,C37,Lists!$K$2:$K$23,B37)=0,"Category/function mismatch",IF(AND(ISNUMBER(J37),J37&gt;0,S37="Monitor"),"Gap needs action","OK"))))))))))</x:f>
      </x:c>
      <x:c r="Z37" s="102" t="str">
        <x:f>IF(A37="","",IF(OR(T37="",NOT(OR(U37="Scenario only",U37="Evidence requested",U37="Evidence reviewed")),V37="",NOT(ISNUMBER(W37)),AA37="",AB37=""),"Add assessment support",IF(OR(W37&lt;=0,W37&gt;Methodology!$B$25),"Review date outside period",IF(AND(OR(S37="Closed",S37="Accepted"),OR(X37="",U37&lt;&gt;"Evidence reviewed")),"Closure review needed",IF(OR(S37="Closed",S37="Accepted"),"Decision recorded",IF(U37="Evidence reviewed","Evidence recorded","Scenario documented"))))))</x:f>
      </x:c>
      <x:c r="AA37" s="93"/>
      <x:c r="AB37" s="93"/>
    </x:row>
    <x:row r="38" ht="40" customHeight="1">
      <x:c r="A38" s="93"/>
      <x:c r="B38" s="93"/>
      <x:c r="C38" s="93"/>
      <x:c r="D38" s="93"/>
      <x:c r="E38" s="93"/>
      <x:c r="F38" s="93"/>
      <x:c r="G38" s="102" t="str">
        <x:f>IF(F38="","",IF(F38="Not in place",0,IF(F38="Ad hoc",1,IF(F38="Partial",2,IF(F38="Mostly",3,IF(F38="In place",4,""))))))</x:f>
      </x:c>
      <x:c r="H38" s="93"/>
      <x:c r="I38" s="102" t="str">
        <x:f>IF(H38="","",IF(H38="Not in place",0,IF(H38="Ad hoc",1,IF(H38="Partial",2,IF(H38="Mostly",3,IF(H38="In place",4,""))))))</x:f>
      </x:c>
      <x:c r="J38" s="102" t="str">
        <x:f>IF(A38="","",IF(COUNT(G38,I38)=2,MAX(0,I38-G38),""))</x:f>
      </x:c>
      <x:c r="K38" s="93"/>
      <x:c r="L38" s="102" t="str">
        <x:f>IF(A38="","",IF(COUNT(J38,K38)&lt;&gt;2,"",IF(AND(K38&gt;=1,K38&lt;=3,MOD(K38,1)=0),J38*K38,"")))</x:f>
      </x:c>
      <x:c r="M38" s="102" t="str">
        <x:f>IF(A38="","",IF(ISNUMBER(L38),IF(L38=0,"No Gap",IF(L38&gt;=6,"High",IF(L38&gt;=3,"Medium","Low"))),"Not assessed"))</x:f>
      </x:c>
      <x:c r="N38" s="93"/>
      <x:c r="O38" s="93"/>
      <x:c r="P38" s="93"/>
      <x:c r="Q38" s="93"/>
      <x:c r="R38" s="95"/>
      <x:c r="S38" s="93"/>
      <x:c r="T38" s="93"/>
      <x:c r="U38" s="93"/>
      <x:c r="V38" s="93"/>
      <x:c r="W38" s="95"/>
      <x:c r="X38" s="93"/>
      <x:c r="Y38" s="102" t="str">
        <x:f>IF(COUNTA(A38:F38,H38,K38,N38:X38,AA38:AB38)=0,"",IF(A38="","Missing ID",IF(COUNTIF($A$5:$A$64,A38)&gt;1,"Duplicate ID",IF(OR(B38="",C38="",D38="",E38="",N38="",O38="",P38=""),"Missing assessment context",IF(NOT(ISNUMBER(L38)),"Incomplete or invalid scores",IF(OR(Q38="",NOT(OR(S38="Open",S38="Planned",S38="In Progress",S38="Monitor",S38="Closed",S38="Accepted"))),"Missing owner or invalid status",IF(NOT(ISNUMBER(R38)),"Missing or invalid target date",IF(R38&lt;=0,"Missing or invalid target date",IF(COUNTIFS(Lists!$J$2:$J$23,C38,Lists!$K$2:$K$23,B38)=0,"Category/function mismatch",IF(AND(ISNUMBER(J38),J38&gt;0,S38="Monitor"),"Gap needs action","OK"))))))))))</x:f>
      </x:c>
      <x:c r="Z38" s="102" t="str">
        <x:f>IF(A38="","",IF(OR(T38="",NOT(OR(U38="Scenario only",U38="Evidence requested",U38="Evidence reviewed")),V38="",NOT(ISNUMBER(W38)),AA38="",AB38=""),"Add assessment support",IF(OR(W38&lt;=0,W38&gt;Methodology!$B$25),"Review date outside period",IF(AND(OR(S38="Closed",S38="Accepted"),OR(X38="",U38&lt;&gt;"Evidence reviewed")),"Closure review needed",IF(OR(S38="Closed",S38="Accepted"),"Decision recorded",IF(U38="Evidence reviewed","Evidence recorded","Scenario documented"))))))</x:f>
      </x:c>
      <x:c r="AA38" s="93"/>
      <x:c r="AB38" s="93"/>
    </x:row>
    <x:row r="39" ht="40" customHeight="1">
      <x:c r="A39" s="93"/>
      <x:c r="B39" s="93"/>
      <x:c r="C39" s="93"/>
      <x:c r="D39" s="93"/>
      <x:c r="E39" s="93"/>
      <x:c r="F39" s="93"/>
      <x:c r="G39" s="102" t="str">
        <x:f>IF(F39="","",IF(F39="Not in place",0,IF(F39="Ad hoc",1,IF(F39="Partial",2,IF(F39="Mostly",3,IF(F39="In place",4,""))))))</x:f>
      </x:c>
      <x:c r="H39" s="93"/>
      <x:c r="I39" s="102" t="str">
        <x:f>IF(H39="","",IF(H39="Not in place",0,IF(H39="Ad hoc",1,IF(H39="Partial",2,IF(H39="Mostly",3,IF(H39="In place",4,""))))))</x:f>
      </x:c>
      <x:c r="J39" s="102" t="str">
        <x:f>IF(A39="","",IF(COUNT(G39,I39)=2,MAX(0,I39-G39),""))</x:f>
      </x:c>
      <x:c r="K39" s="93"/>
      <x:c r="L39" s="102" t="str">
        <x:f>IF(A39="","",IF(COUNT(J39,K39)&lt;&gt;2,"",IF(AND(K39&gt;=1,K39&lt;=3,MOD(K39,1)=0),J39*K39,"")))</x:f>
      </x:c>
      <x:c r="M39" s="102" t="str">
        <x:f>IF(A39="","",IF(ISNUMBER(L39),IF(L39=0,"No Gap",IF(L39&gt;=6,"High",IF(L39&gt;=3,"Medium","Low"))),"Not assessed"))</x:f>
      </x:c>
      <x:c r="N39" s="93"/>
      <x:c r="O39" s="93"/>
      <x:c r="P39" s="93"/>
      <x:c r="Q39" s="93"/>
      <x:c r="R39" s="95"/>
      <x:c r="S39" s="93"/>
      <x:c r="T39" s="93"/>
      <x:c r="U39" s="93"/>
      <x:c r="V39" s="93"/>
      <x:c r="W39" s="95"/>
      <x:c r="X39" s="93"/>
      <x:c r="Y39" s="102" t="str">
        <x:f>IF(COUNTA(A39:F39,H39,K39,N39:X39,AA39:AB39)=0,"",IF(A39="","Missing ID",IF(COUNTIF($A$5:$A$64,A39)&gt;1,"Duplicate ID",IF(OR(B39="",C39="",D39="",E39="",N39="",O39="",P39=""),"Missing assessment context",IF(NOT(ISNUMBER(L39)),"Incomplete or invalid scores",IF(OR(Q39="",NOT(OR(S39="Open",S39="Planned",S39="In Progress",S39="Monitor",S39="Closed",S39="Accepted"))),"Missing owner or invalid status",IF(NOT(ISNUMBER(R39)),"Missing or invalid target date",IF(R39&lt;=0,"Missing or invalid target date",IF(COUNTIFS(Lists!$J$2:$J$23,C39,Lists!$K$2:$K$23,B39)=0,"Category/function mismatch",IF(AND(ISNUMBER(J39),J39&gt;0,S39="Monitor"),"Gap needs action","OK"))))))))))</x:f>
      </x:c>
      <x:c r="Z39" s="102" t="str">
        <x:f>IF(A39="","",IF(OR(T39="",NOT(OR(U39="Scenario only",U39="Evidence requested",U39="Evidence reviewed")),V39="",NOT(ISNUMBER(W39)),AA39="",AB39=""),"Add assessment support",IF(OR(W39&lt;=0,W39&gt;Methodology!$B$25),"Review date outside period",IF(AND(OR(S39="Closed",S39="Accepted"),OR(X39="",U39&lt;&gt;"Evidence reviewed")),"Closure review needed",IF(OR(S39="Closed",S39="Accepted"),"Decision recorded",IF(U39="Evidence reviewed","Evidence recorded","Scenario documented"))))))</x:f>
      </x:c>
      <x:c r="AA39" s="93"/>
      <x:c r="AB39" s="93"/>
    </x:row>
    <x:row r="40" ht="40" customHeight="1">
      <x:c r="A40" s="93"/>
      <x:c r="B40" s="93"/>
      <x:c r="C40" s="93"/>
      <x:c r="D40" s="93"/>
      <x:c r="E40" s="93"/>
      <x:c r="F40" s="93"/>
      <x:c r="G40" s="102" t="str">
        <x:f>IF(F40="","",IF(F40="Not in place",0,IF(F40="Ad hoc",1,IF(F40="Partial",2,IF(F40="Mostly",3,IF(F40="In place",4,""))))))</x:f>
      </x:c>
      <x:c r="H40" s="93"/>
      <x:c r="I40" s="102" t="str">
        <x:f>IF(H40="","",IF(H40="Not in place",0,IF(H40="Ad hoc",1,IF(H40="Partial",2,IF(H40="Mostly",3,IF(H40="In place",4,""))))))</x:f>
      </x:c>
      <x:c r="J40" s="102" t="str">
        <x:f>IF(A40="","",IF(COUNT(G40,I40)=2,MAX(0,I40-G40),""))</x:f>
      </x:c>
      <x:c r="K40" s="93"/>
      <x:c r="L40" s="102" t="str">
        <x:f>IF(A40="","",IF(COUNT(J40,K40)&lt;&gt;2,"",IF(AND(K40&gt;=1,K40&lt;=3,MOD(K40,1)=0),J40*K40,"")))</x:f>
      </x:c>
      <x:c r="M40" s="102" t="str">
        <x:f>IF(A40="","",IF(ISNUMBER(L40),IF(L40=0,"No Gap",IF(L40&gt;=6,"High",IF(L40&gt;=3,"Medium","Low"))),"Not assessed"))</x:f>
      </x:c>
      <x:c r="N40" s="93"/>
      <x:c r="O40" s="93"/>
      <x:c r="P40" s="93"/>
      <x:c r="Q40" s="93"/>
      <x:c r="R40" s="95"/>
      <x:c r="S40" s="93"/>
      <x:c r="T40" s="93"/>
      <x:c r="U40" s="93"/>
      <x:c r="V40" s="93"/>
      <x:c r="W40" s="95"/>
      <x:c r="X40" s="93"/>
      <x:c r="Y40" s="102" t="str">
        <x:f>IF(COUNTA(A40:F40,H40,K40,N40:X40,AA40:AB40)=0,"",IF(A40="","Missing ID",IF(COUNTIF($A$5:$A$64,A40)&gt;1,"Duplicate ID",IF(OR(B40="",C40="",D40="",E40="",N40="",O40="",P40=""),"Missing assessment context",IF(NOT(ISNUMBER(L40)),"Incomplete or invalid scores",IF(OR(Q40="",NOT(OR(S40="Open",S40="Planned",S40="In Progress",S40="Monitor",S40="Closed",S40="Accepted"))),"Missing owner or invalid status",IF(NOT(ISNUMBER(R40)),"Missing or invalid target date",IF(R40&lt;=0,"Missing or invalid target date",IF(COUNTIFS(Lists!$J$2:$J$23,C40,Lists!$K$2:$K$23,B40)=0,"Category/function mismatch",IF(AND(ISNUMBER(J40),J40&gt;0,S40="Monitor"),"Gap needs action","OK"))))))))))</x:f>
      </x:c>
      <x:c r="Z40" s="102" t="str">
        <x:f>IF(A40="","",IF(OR(T40="",NOT(OR(U40="Scenario only",U40="Evidence requested",U40="Evidence reviewed")),V40="",NOT(ISNUMBER(W40)),AA40="",AB40=""),"Add assessment support",IF(OR(W40&lt;=0,W40&gt;Methodology!$B$25),"Review date outside period",IF(AND(OR(S40="Closed",S40="Accepted"),OR(X40="",U40&lt;&gt;"Evidence reviewed")),"Closure review needed",IF(OR(S40="Closed",S40="Accepted"),"Decision recorded",IF(U40="Evidence reviewed","Evidence recorded","Scenario documented"))))))</x:f>
      </x:c>
      <x:c r="AA40" s="93"/>
      <x:c r="AB40" s="93"/>
    </x:row>
    <x:row r="41" ht="40" customHeight="1">
      <x:c r="A41" s="93"/>
      <x:c r="B41" s="93"/>
      <x:c r="C41" s="93"/>
      <x:c r="D41" s="93"/>
      <x:c r="E41" s="93"/>
      <x:c r="F41" s="93"/>
      <x:c r="G41" s="102" t="str">
        <x:f>IF(F41="","",IF(F41="Not in place",0,IF(F41="Ad hoc",1,IF(F41="Partial",2,IF(F41="Mostly",3,IF(F41="In place",4,""))))))</x:f>
      </x:c>
      <x:c r="H41" s="93"/>
      <x:c r="I41" s="102" t="str">
        <x:f>IF(H41="","",IF(H41="Not in place",0,IF(H41="Ad hoc",1,IF(H41="Partial",2,IF(H41="Mostly",3,IF(H41="In place",4,""))))))</x:f>
      </x:c>
      <x:c r="J41" s="102" t="str">
        <x:f>IF(A41="","",IF(COUNT(G41,I41)=2,MAX(0,I41-G41),""))</x:f>
      </x:c>
      <x:c r="K41" s="93"/>
      <x:c r="L41" s="102" t="str">
        <x:f>IF(A41="","",IF(COUNT(J41,K41)&lt;&gt;2,"",IF(AND(K41&gt;=1,K41&lt;=3,MOD(K41,1)=0),J41*K41,"")))</x:f>
      </x:c>
      <x:c r="M41" s="102" t="str">
        <x:f>IF(A41="","",IF(ISNUMBER(L41),IF(L41=0,"No Gap",IF(L41&gt;=6,"High",IF(L41&gt;=3,"Medium","Low"))),"Not assessed"))</x:f>
      </x:c>
      <x:c r="N41" s="93"/>
      <x:c r="O41" s="93"/>
      <x:c r="P41" s="93"/>
      <x:c r="Q41" s="93"/>
      <x:c r="R41" s="95"/>
      <x:c r="S41" s="93"/>
      <x:c r="T41" s="93"/>
      <x:c r="U41" s="93"/>
      <x:c r="V41" s="93"/>
      <x:c r="W41" s="95"/>
      <x:c r="X41" s="93"/>
      <x:c r="Y41" s="102" t="str">
        <x:f>IF(COUNTA(A41:F41,H41,K41,N41:X41,AA41:AB41)=0,"",IF(A41="","Missing ID",IF(COUNTIF($A$5:$A$64,A41)&gt;1,"Duplicate ID",IF(OR(B41="",C41="",D41="",E41="",N41="",O41="",P41=""),"Missing assessment context",IF(NOT(ISNUMBER(L41)),"Incomplete or invalid scores",IF(OR(Q41="",NOT(OR(S41="Open",S41="Planned",S41="In Progress",S41="Monitor",S41="Closed",S41="Accepted"))),"Missing owner or invalid status",IF(NOT(ISNUMBER(R41)),"Missing or invalid target date",IF(R41&lt;=0,"Missing or invalid target date",IF(COUNTIFS(Lists!$J$2:$J$23,C41,Lists!$K$2:$K$23,B41)=0,"Category/function mismatch",IF(AND(ISNUMBER(J41),J41&gt;0,S41="Monitor"),"Gap needs action","OK"))))))))))</x:f>
      </x:c>
      <x:c r="Z41" s="102" t="str">
        <x:f>IF(A41="","",IF(OR(T41="",NOT(OR(U41="Scenario only",U41="Evidence requested",U41="Evidence reviewed")),V41="",NOT(ISNUMBER(W41)),AA41="",AB41=""),"Add assessment support",IF(OR(W41&lt;=0,W41&gt;Methodology!$B$25),"Review date outside period",IF(AND(OR(S41="Closed",S41="Accepted"),OR(X41="",U41&lt;&gt;"Evidence reviewed")),"Closure review needed",IF(OR(S41="Closed",S41="Accepted"),"Decision recorded",IF(U41="Evidence reviewed","Evidence recorded","Scenario documented"))))))</x:f>
      </x:c>
      <x:c r="AA41" s="93"/>
      <x:c r="AB41" s="93"/>
    </x:row>
    <x:row r="42" ht="40" customHeight="1">
      <x:c r="A42" s="93"/>
      <x:c r="B42" s="93"/>
      <x:c r="C42" s="93"/>
      <x:c r="D42" s="93"/>
      <x:c r="E42" s="93"/>
      <x:c r="F42" s="93"/>
      <x:c r="G42" s="102" t="str">
        <x:f>IF(F42="","",IF(F42="Not in place",0,IF(F42="Ad hoc",1,IF(F42="Partial",2,IF(F42="Mostly",3,IF(F42="In place",4,""))))))</x:f>
      </x:c>
      <x:c r="H42" s="93"/>
      <x:c r="I42" s="102" t="str">
        <x:f>IF(H42="","",IF(H42="Not in place",0,IF(H42="Ad hoc",1,IF(H42="Partial",2,IF(H42="Mostly",3,IF(H42="In place",4,""))))))</x:f>
      </x:c>
      <x:c r="J42" s="102" t="str">
        <x:f>IF(A42="","",IF(COUNT(G42,I42)=2,MAX(0,I42-G42),""))</x:f>
      </x:c>
      <x:c r="K42" s="93"/>
      <x:c r="L42" s="102" t="str">
        <x:f>IF(A42="","",IF(COUNT(J42,K42)&lt;&gt;2,"",IF(AND(K42&gt;=1,K42&lt;=3,MOD(K42,1)=0),J42*K42,"")))</x:f>
      </x:c>
      <x:c r="M42" s="102" t="str">
        <x:f>IF(A42="","",IF(ISNUMBER(L42),IF(L42=0,"No Gap",IF(L42&gt;=6,"High",IF(L42&gt;=3,"Medium","Low"))),"Not assessed"))</x:f>
      </x:c>
      <x:c r="N42" s="93"/>
      <x:c r="O42" s="93"/>
      <x:c r="P42" s="93"/>
      <x:c r="Q42" s="93"/>
      <x:c r="R42" s="95"/>
      <x:c r="S42" s="93"/>
      <x:c r="T42" s="93"/>
      <x:c r="U42" s="93"/>
      <x:c r="V42" s="93"/>
      <x:c r="W42" s="95"/>
      <x:c r="X42" s="93"/>
      <x:c r="Y42" s="102" t="str">
        <x:f>IF(COUNTA(A42:F42,H42,K42,N42:X42,AA42:AB42)=0,"",IF(A42="","Missing ID",IF(COUNTIF($A$5:$A$64,A42)&gt;1,"Duplicate ID",IF(OR(B42="",C42="",D42="",E42="",N42="",O42="",P42=""),"Missing assessment context",IF(NOT(ISNUMBER(L42)),"Incomplete or invalid scores",IF(OR(Q42="",NOT(OR(S42="Open",S42="Planned",S42="In Progress",S42="Monitor",S42="Closed",S42="Accepted"))),"Missing owner or invalid status",IF(NOT(ISNUMBER(R42)),"Missing or invalid target date",IF(R42&lt;=0,"Missing or invalid target date",IF(COUNTIFS(Lists!$J$2:$J$23,C42,Lists!$K$2:$K$23,B42)=0,"Category/function mismatch",IF(AND(ISNUMBER(J42),J42&gt;0,S42="Monitor"),"Gap needs action","OK"))))))))))</x:f>
      </x:c>
      <x:c r="Z42" s="102" t="str">
        <x:f>IF(A42="","",IF(OR(T42="",NOT(OR(U42="Scenario only",U42="Evidence requested",U42="Evidence reviewed")),V42="",NOT(ISNUMBER(W42)),AA42="",AB42=""),"Add assessment support",IF(OR(W42&lt;=0,W42&gt;Methodology!$B$25),"Review date outside period",IF(AND(OR(S42="Closed",S42="Accepted"),OR(X42="",U42&lt;&gt;"Evidence reviewed")),"Closure review needed",IF(OR(S42="Closed",S42="Accepted"),"Decision recorded",IF(U42="Evidence reviewed","Evidence recorded","Scenario documented"))))))</x:f>
      </x:c>
      <x:c r="AA42" s="93"/>
      <x:c r="AB42" s="93"/>
    </x:row>
    <x:row r="43" ht="40" customHeight="1">
      <x:c r="A43" s="93"/>
      <x:c r="B43" s="93"/>
      <x:c r="C43" s="93"/>
      <x:c r="D43" s="93"/>
      <x:c r="E43" s="93"/>
      <x:c r="F43" s="93"/>
      <x:c r="G43" s="102" t="str">
        <x:f>IF(F43="","",IF(F43="Not in place",0,IF(F43="Ad hoc",1,IF(F43="Partial",2,IF(F43="Mostly",3,IF(F43="In place",4,""))))))</x:f>
      </x:c>
      <x:c r="H43" s="93"/>
      <x:c r="I43" s="102" t="str">
        <x:f>IF(H43="","",IF(H43="Not in place",0,IF(H43="Ad hoc",1,IF(H43="Partial",2,IF(H43="Mostly",3,IF(H43="In place",4,""))))))</x:f>
      </x:c>
      <x:c r="J43" s="102" t="str">
        <x:f>IF(A43="","",IF(COUNT(G43,I43)=2,MAX(0,I43-G43),""))</x:f>
      </x:c>
      <x:c r="K43" s="93"/>
      <x:c r="L43" s="102" t="str">
        <x:f>IF(A43="","",IF(COUNT(J43,K43)&lt;&gt;2,"",IF(AND(K43&gt;=1,K43&lt;=3,MOD(K43,1)=0),J43*K43,"")))</x:f>
      </x:c>
      <x:c r="M43" s="102" t="str">
        <x:f>IF(A43="","",IF(ISNUMBER(L43),IF(L43=0,"No Gap",IF(L43&gt;=6,"High",IF(L43&gt;=3,"Medium","Low"))),"Not assessed"))</x:f>
      </x:c>
      <x:c r="N43" s="93"/>
      <x:c r="O43" s="93"/>
      <x:c r="P43" s="93"/>
      <x:c r="Q43" s="93"/>
      <x:c r="R43" s="95"/>
      <x:c r="S43" s="93"/>
      <x:c r="T43" s="93"/>
      <x:c r="U43" s="93"/>
      <x:c r="V43" s="93"/>
      <x:c r="W43" s="95"/>
      <x:c r="X43" s="93"/>
      <x:c r="Y43" s="102" t="str">
        <x:f>IF(COUNTA(A43:F43,H43,K43,N43:X43,AA43:AB43)=0,"",IF(A43="","Missing ID",IF(COUNTIF($A$5:$A$64,A43)&gt;1,"Duplicate ID",IF(OR(B43="",C43="",D43="",E43="",N43="",O43="",P43=""),"Missing assessment context",IF(NOT(ISNUMBER(L43)),"Incomplete or invalid scores",IF(OR(Q43="",NOT(OR(S43="Open",S43="Planned",S43="In Progress",S43="Monitor",S43="Closed",S43="Accepted"))),"Missing owner or invalid status",IF(NOT(ISNUMBER(R43)),"Missing or invalid target date",IF(R43&lt;=0,"Missing or invalid target date",IF(COUNTIFS(Lists!$J$2:$J$23,C43,Lists!$K$2:$K$23,B43)=0,"Category/function mismatch",IF(AND(ISNUMBER(J43),J43&gt;0,S43="Monitor"),"Gap needs action","OK"))))))))))</x:f>
      </x:c>
      <x:c r="Z43" s="102" t="str">
        <x:f>IF(A43="","",IF(OR(T43="",NOT(OR(U43="Scenario only",U43="Evidence requested",U43="Evidence reviewed")),V43="",NOT(ISNUMBER(W43)),AA43="",AB43=""),"Add assessment support",IF(OR(W43&lt;=0,W43&gt;Methodology!$B$25),"Review date outside period",IF(AND(OR(S43="Closed",S43="Accepted"),OR(X43="",U43&lt;&gt;"Evidence reviewed")),"Closure review needed",IF(OR(S43="Closed",S43="Accepted"),"Decision recorded",IF(U43="Evidence reviewed","Evidence recorded","Scenario documented"))))))</x:f>
      </x:c>
      <x:c r="AA43" s="93"/>
      <x:c r="AB43" s="93"/>
    </x:row>
    <x:row r="44" ht="40" customHeight="1">
      <x:c r="A44" s="93"/>
      <x:c r="B44" s="93"/>
      <x:c r="C44" s="93"/>
      <x:c r="D44" s="93"/>
      <x:c r="E44" s="93"/>
      <x:c r="F44" s="93"/>
      <x:c r="G44" s="102" t="str">
        <x:f>IF(F44="","",IF(F44="Not in place",0,IF(F44="Ad hoc",1,IF(F44="Partial",2,IF(F44="Mostly",3,IF(F44="In place",4,""))))))</x:f>
      </x:c>
      <x:c r="H44" s="93"/>
      <x:c r="I44" s="102" t="str">
        <x:f>IF(H44="","",IF(H44="Not in place",0,IF(H44="Ad hoc",1,IF(H44="Partial",2,IF(H44="Mostly",3,IF(H44="In place",4,""))))))</x:f>
      </x:c>
      <x:c r="J44" s="102" t="str">
        <x:f>IF(A44="","",IF(COUNT(G44,I44)=2,MAX(0,I44-G44),""))</x:f>
      </x:c>
      <x:c r="K44" s="93"/>
      <x:c r="L44" s="102" t="str">
        <x:f>IF(A44="","",IF(COUNT(J44,K44)&lt;&gt;2,"",IF(AND(K44&gt;=1,K44&lt;=3,MOD(K44,1)=0),J44*K44,"")))</x:f>
      </x:c>
      <x:c r="M44" s="102" t="str">
        <x:f>IF(A44="","",IF(ISNUMBER(L44),IF(L44=0,"No Gap",IF(L44&gt;=6,"High",IF(L44&gt;=3,"Medium","Low"))),"Not assessed"))</x:f>
      </x:c>
      <x:c r="N44" s="93"/>
      <x:c r="O44" s="93"/>
      <x:c r="P44" s="93"/>
      <x:c r="Q44" s="93"/>
      <x:c r="R44" s="95"/>
      <x:c r="S44" s="93"/>
      <x:c r="T44" s="93"/>
      <x:c r="U44" s="93"/>
      <x:c r="V44" s="93"/>
      <x:c r="W44" s="95"/>
      <x:c r="X44" s="93"/>
      <x:c r="Y44" s="102" t="str">
        <x:f>IF(COUNTA(A44:F44,H44,K44,N44:X44,AA44:AB44)=0,"",IF(A44="","Missing ID",IF(COUNTIF($A$5:$A$64,A44)&gt;1,"Duplicate ID",IF(OR(B44="",C44="",D44="",E44="",N44="",O44="",P44=""),"Missing assessment context",IF(NOT(ISNUMBER(L44)),"Incomplete or invalid scores",IF(OR(Q44="",NOT(OR(S44="Open",S44="Planned",S44="In Progress",S44="Monitor",S44="Closed",S44="Accepted"))),"Missing owner or invalid status",IF(NOT(ISNUMBER(R44)),"Missing or invalid target date",IF(R44&lt;=0,"Missing or invalid target date",IF(COUNTIFS(Lists!$J$2:$J$23,C44,Lists!$K$2:$K$23,B44)=0,"Category/function mismatch",IF(AND(ISNUMBER(J44),J44&gt;0,S44="Monitor"),"Gap needs action","OK"))))))))))</x:f>
      </x:c>
      <x:c r="Z44" s="102" t="str">
        <x:f>IF(A44="","",IF(OR(T44="",NOT(OR(U44="Scenario only",U44="Evidence requested",U44="Evidence reviewed")),V44="",NOT(ISNUMBER(W44)),AA44="",AB44=""),"Add assessment support",IF(OR(W44&lt;=0,W44&gt;Methodology!$B$25),"Review date outside period",IF(AND(OR(S44="Closed",S44="Accepted"),OR(X44="",U44&lt;&gt;"Evidence reviewed")),"Closure review needed",IF(OR(S44="Closed",S44="Accepted"),"Decision recorded",IF(U44="Evidence reviewed","Evidence recorded","Scenario documented"))))))</x:f>
      </x:c>
      <x:c r="AA44" s="93"/>
      <x:c r="AB44" s="93"/>
    </x:row>
    <x:row r="45" ht="40" customHeight="1">
      <x:c r="A45" s="93"/>
      <x:c r="B45" s="93"/>
      <x:c r="C45" s="93"/>
      <x:c r="D45" s="93"/>
      <x:c r="E45" s="93"/>
      <x:c r="F45" s="93"/>
      <x:c r="G45" s="102" t="str">
        <x:f>IF(F45="","",IF(F45="Not in place",0,IF(F45="Ad hoc",1,IF(F45="Partial",2,IF(F45="Mostly",3,IF(F45="In place",4,""))))))</x:f>
      </x:c>
      <x:c r="H45" s="93"/>
      <x:c r="I45" s="102" t="str">
        <x:f>IF(H45="","",IF(H45="Not in place",0,IF(H45="Ad hoc",1,IF(H45="Partial",2,IF(H45="Mostly",3,IF(H45="In place",4,""))))))</x:f>
      </x:c>
      <x:c r="J45" s="102" t="str">
        <x:f>IF(A45="","",IF(COUNT(G45,I45)=2,MAX(0,I45-G45),""))</x:f>
      </x:c>
      <x:c r="K45" s="93"/>
      <x:c r="L45" s="102" t="str">
        <x:f>IF(A45="","",IF(COUNT(J45,K45)&lt;&gt;2,"",IF(AND(K45&gt;=1,K45&lt;=3,MOD(K45,1)=0),J45*K45,"")))</x:f>
      </x:c>
      <x:c r="M45" s="102" t="str">
        <x:f>IF(A45="","",IF(ISNUMBER(L45),IF(L45=0,"No Gap",IF(L45&gt;=6,"High",IF(L45&gt;=3,"Medium","Low"))),"Not assessed"))</x:f>
      </x:c>
      <x:c r="N45" s="93"/>
      <x:c r="O45" s="93"/>
      <x:c r="P45" s="93"/>
      <x:c r="Q45" s="93"/>
      <x:c r="R45" s="95"/>
      <x:c r="S45" s="93"/>
      <x:c r="T45" s="93"/>
      <x:c r="U45" s="93"/>
      <x:c r="V45" s="93"/>
      <x:c r="W45" s="95"/>
      <x:c r="X45" s="93"/>
      <x:c r="Y45" s="102" t="str">
        <x:f>IF(COUNTA(A45:F45,H45,K45,N45:X45,AA45:AB45)=0,"",IF(A45="","Missing ID",IF(COUNTIF($A$5:$A$64,A45)&gt;1,"Duplicate ID",IF(OR(B45="",C45="",D45="",E45="",N45="",O45="",P45=""),"Missing assessment context",IF(NOT(ISNUMBER(L45)),"Incomplete or invalid scores",IF(OR(Q45="",NOT(OR(S45="Open",S45="Planned",S45="In Progress",S45="Monitor",S45="Closed",S45="Accepted"))),"Missing owner or invalid status",IF(NOT(ISNUMBER(R45)),"Missing or invalid target date",IF(R45&lt;=0,"Missing or invalid target date",IF(COUNTIFS(Lists!$J$2:$J$23,C45,Lists!$K$2:$K$23,B45)=0,"Category/function mismatch",IF(AND(ISNUMBER(J45),J45&gt;0,S45="Monitor"),"Gap needs action","OK"))))))))))</x:f>
      </x:c>
      <x:c r="Z45" s="102" t="str">
        <x:f>IF(A45="","",IF(OR(T45="",NOT(OR(U45="Scenario only",U45="Evidence requested",U45="Evidence reviewed")),V45="",NOT(ISNUMBER(W45)),AA45="",AB45=""),"Add assessment support",IF(OR(W45&lt;=0,W45&gt;Methodology!$B$25),"Review date outside period",IF(AND(OR(S45="Closed",S45="Accepted"),OR(X45="",U45&lt;&gt;"Evidence reviewed")),"Closure review needed",IF(OR(S45="Closed",S45="Accepted"),"Decision recorded",IF(U45="Evidence reviewed","Evidence recorded","Scenario documented"))))))</x:f>
      </x:c>
      <x:c r="AA45" s="93"/>
      <x:c r="AB45" s="93"/>
    </x:row>
    <x:row r="46" ht="40" customHeight="1">
      <x:c r="A46" s="93"/>
      <x:c r="B46" s="93"/>
      <x:c r="C46" s="93"/>
      <x:c r="D46" s="93"/>
      <x:c r="E46" s="93"/>
      <x:c r="F46" s="93"/>
      <x:c r="G46" s="102" t="str">
        <x:f>IF(F46="","",IF(F46="Not in place",0,IF(F46="Ad hoc",1,IF(F46="Partial",2,IF(F46="Mostly",3,IF(F46="In place",4,""))))))</x:f>
      </x:c>
      <x:c r="H46" s="93"/>
      <x:c r="I46" s="102" t="str">
        <x:f>IF(H46="","",IF(H46="Not in place",0,IF(H46="Ad hoc",1,IF(H46="Partial",2,IF(H46="Mostly",3,IF(H46="In place",4,""))))))</x:f>
      </x:c>
      <x:c r="J46" s="102" t="str">
        <x:f>IF(A46="","",IF(COUNT(G46,I46)=2,MAX(0,I46-G46),""))</x:f>
      </x:c>
      <x:c r="K46" s="93"/>
      <x:c r="L46" s="102" t="str">
        <x:f>IF(A46="","",IF(COUNT(J46,K46)&lt;&gt;2,"",IF(AND(K46&gt;=1,K46&lt;=3,MOD(K46,1)=0),J46*K46,"")))</x:f>
      </x:c>
      <x:c r="M46" s="102" t="str">
        <x:f>IF(A46="","",IF(ISNUMBER(L46),IF(L46=0,"No Gap",IF(L46&gt;=6,"High",IF(L46&gt;=3,"Medium","Low"))),"Not assessed"))</x:f>
      </x:c>
      <x:c r="N46" s="93"/>
      <x:c r="O46" s="93"/>
      <x:c r="P46" s="93"/>
      <x:c r="Q46" s="93"/>
      <x:c r="R46" s="95"/>
      <x:c r="S46" s="93"/>
      <x:c r="T46" s="93"/>
      <x:c r="U46" s="93"/>
      <x:c r="V46" s="93"/>
      <x:c r="W46" s="95"/>
      <x:c r="X46" s="93"/>
      <x:c r="Y46" s="102" t="str">
        <x:f>IF(COUNTA(A46:F46,H46,K46,N46:X46,AA46:AB46)=0,"",IF(A46="","Missing ID",IF(COUNTIF($A$5:$A$64,A46)&gt;1,"Duplicate ID",IF(OR(B46="",C46="",D46="",E46="",N46="",O46="",P46=""),"Missing assessment context",IF(NOT(ISNUMBER(L46)),"Incomplete or invalid scores",IF(OR(Q46="",NOT(OR(S46="Open",S46="Planned",S46="In Progress",S46="Monitor",S46="Closed",S46="Accepted"))),"Missing owner or invalid status",IF(NOT(ISNUMBER(R46)),"Missing or invalid target date",IF(R46&lt;=0,"Missing or invalid target date",IF(COUNTIFS(Lists!$J$2:$J$23,C46,Lists!$K$2:$K$23,B46)=0,"Category/function mismatch",IF(AND(ISNUMBER(J46),J46&gt;0,S46="Monitor"),"Gap needs action","OK"))))))))))</x:f>
      </x:c>
      <x:c r="Z46" s="102" t="str">
        <x:f>IF(A46="","",IF(OR(T46="",NOT(OR(U46="Scenario only",U46="Evidence requested",U46="Evidence reviewed")),V46="",NOT(ISNUMBER(W46)),AA46="",AB46=""),"Add assessment support",IF(OR(W46&lt;=0,W46&gt;Methodology!$B$25),"Review date outside period",IF(AND(OR(S46="Closed",S46="Accepted"),OR(X46="",U46&lt;&gt;"Evidence reviewed")),"Closure review needed",IF(OR(S46="Closed",S46="Accepted"),"Decision recorded",IF(U46="Evidence reviewed","Evidence recorded","Scenario documented"))))))</x:f>
      </x:c>
      <x:c r="AA46" s="93"/>
      <x:c r="AB46" s="93"/>
    </x:row>
    <x:row r="47" ht="40" customHeight="1">
      <x:c r="A47" s="93"/>
      <x:c r="B47" s="93"/>
      <x:c r="C47" s="93"/>
      <x:c r="D47" s="93"/>
      <x:c r="E47" s="93"/>
      <x:c r="F47" s="93"/>
      <x:c r="G47" s="102" t="str">
        <x:f>IF(F47="","",IF(F47="Not in place",0,IF(F47="Ad hoc",1,IF(F47="Partial",2,IF(F47="Mostly",3,IF(F47="In place",4,""))))))</x:f>
      </x:c>
      <x:c r="H47" s="93"/>
      <x:c r="I47" s="102" t="str">
        <x:f>IF(H47="","",IF(H47="Not in place",0,IF(H47="Ad hoc",1,IF(H47="Partial",2,IF(H47="Mostly",3,IF(H47="In place",4,""))))))</x:f>
      </x:c>
      <x:c r="J47" s="102" t="str">
        <x:f>IF(A47="","",IF(COUNT(G47,I47)=2,MAX(0,I47-G47),""))</x:f>
      </x:c>
      <x:c r="K47" s="93"/>
      <x:c r="L47" s="102" t="str">
        <x:f>IF(A47="","",IF(COUNT(J47,K47)&lt;&gt;2,"",IF(AND(K47&gt;=1,K47&lt;=3,MOD(K47,1)=0),J47*K47,"")))</x:f>
      </x:c>
      <x:c r="M47" s="102" t="str">
        <x:f>IF(A47="","",IF(ISNUMBER(L47),IF(L47=0,"No Gap",IF(L47&gt;=6,"High",IF(L47&gt;=3,"Medium","Low"))),"Not assessed"))</x:f>
      </x:c>
      <x:c r="N47" s="93"/>
      <x:c r="O47" s="93"/>
      <x:c r="P47" s="93"/>
      <x:c r="Q47" s="93"/>
      <x:c r="R47" s="95"/>
      <x:c r="S47" s="93"/>
      <x:c r="T47" s="93"/>
      <x:c r="U47" s="93"/>
      <x:c r="V47" s="93"/>
      <x:c r="W47" s="95"/>
      <x:c r="X47" s="93"/>
      <x:c r="Y47" s="102" t="str">
        <x:f>IF(COUNTA(A47:F47,H47,K47,N47:X47,AA47:AB47)=0,"",IF(A47="","Missing ID",IF(COUNTIF($A$5:$A$64,A47)&gt;1,"Duplicate ID",IF(OR(B47="",C47="",D47="",E47="",N47="",O47="",P47=""),"Missing assessment context",IF(NOT(ISNUMBER(L47)),"Incomplete or invalid scores",IF(OR(Q47="",NOT(OR(S47="Open",S47="Planned",S47="In Progress",S47="Monitor",S47="Closed",S47="Accepted"))),"Missing owner or invalid status",IF(NOT(ISNUMBER(R47)),"Missing or invalid target date",IF(R47&lt;=0,"Missing or invalid target date",IF(COUNTIFS(Lists!$J$2:$J$23,C47,Lists!$K$2:$K$23,B47)=0,"Category/function mismatch",IF(AND(ISNUMBER(J47),J47&gt;0,S47="Monitor"),"Gap needs action","OK"))))))))))</x:f>
      </x:c>
      <x:c r="Z47" s="102" t="str">
        <x:f>IF(A47="","",IF(OR(T47="",NOT(OR(U47="Scenario only",U47="Evidence requested",U47="Evidence reviewed")),V47="",NOT(ISNUMBER(W47)),AA47="",AB47=""),"Add assessment support",IF(OR(W47&lt;=0,W47&gt;Methodology!$B$25),"Review date outside period",IF(AND(OR(S47="Closed",S47="Accepted"),OR(X47="",U47&lt;&gt;"Evidence reviewed")),"Closure review needed",IF(OR(S47="Closed",S47="Accepted"),"Decision recorded",IF(U47="Evidence reviewed","Evidence recorded","Scenario documented"))))))</x:f>
      </x:c>
      <x:c r="AA47" s="93"/>
      <x:c r="AB47" s="93"/>
    </x:row>
    <x:row r="48" ht="40" customHeight="1">
      <x:c r="A48" s="93"/>
      <x:c r="B48" s="93"/>
      <x:c r="C48" s="93"/>
      <x:c r="D48" s="93"/>
      <x:c r="E48" s="93"/>
      <x:c r="F48" s="93"/>
      <x:c r="G48" s="102" t="str">
        <x:f>IF(F48="","",IF(F48="Not in place",0,IF(F48="Ad hoc",1,IF(F48="Partial",2,IF(F48="Mostly",3,IF(F48="In place",4,""))))))</x:f>
      </x:c>
      <x:c r="H48" s="93"/>
      <x:c r="I48" s="102" t="str">
        <x:f>IF(H48="","",IF(H48="Not in place",0,IF(H48="Ad hoc",1,IF(H48="Partial",2,IF(H48="Mostly",3,IF(H48="In place",4,""))))))</x:f>
      </x:c>
      <x:c r="J48" s="102" t="str">
        <x:f>IF(A48="","",IF(COUNT(G48,I48)=2,MAX(0,I48-G48),""))</x:f>
      </x:c>
      <x:c r="K48" s="93"/>
      <x:c r="L48" s="102" t="str">
        <x:f>IF(A48="","",IF(COUNT(J48,K48)&lt;&gt;2,"",IF(AND(K48&gt;=1,K48&lt;=3,MOD(K48,1)=0),J48*K48,"")))</x:f>
      </x:c>
      <x:c r="M48" s="102" t="str">
        <x:f>IF(A48="","",IF(ISNUMBER(L48),IF(L48=0,"No Gap",IF(L48&gt;=6,"High",IF(L48&gt;=3,"Medium","Low"))),"Not assessed"))</x:f>
      </x:c>
      <x:c r="N48" s="93"/>
      <x:c r="O48" s="93"/>
      <x:c r="P48" s="93"/>
      <x:c r="Q48" s="93"/>
      <x:c r="R48" s="95"/>
      <x:c r="S48" s="93"/>
      <x:c r="T48" s="93"/>
      <x:c r="U48" s="93"/>
      <x:c r="V48" s="93"/>
      <x:c r="W48" s="95"/>
      <x:c r="X48" s="93"/>
      <x:c r="Y48" s="102" t="str">
        <x:f>IF(COUNTA(A48:F48,H48,K48,N48:X48,AA48:AB48)=0,"",IF(A48="","Missing ID",IF(COUNTIF($A$5:$A$64,A48)&gt;1,"Duplicate ID",IF(OR(B48="",C48="",D48="",E48="",N48="",O48="",P48=""),"Missing assessment context",IF(NOT(ISNUMBER(L48)),"Incomplete or invalid scores",IF(OR(Q48="",NOT(OR(S48="Open",S48="Planned",S48="In Progress",S48="Monitor",S48="Closed",S48="Accepted"))),"Missing owner or invalid status",IF(NOT(ISNUMBER(R48)),"Missing or invalid target date",IF(R48&lt;=0,"Missing or invalid target date",IF(COUNTIFS(Lists!$J$2:$J$23,C48,Lists!$K$2:$K$23,B48)=0,"Category/function mismatch",IF(AND(ISNUMBER(J48),J48&gt;0,S48="Monitor"),"Gap needs action","OK"))))))))))</x:f>
      </x:c>
      <x:c r="Z48" s="102" t="str">
        <x:f>IF(A48="","",IF(OR(T48="",NOT(OR(U48="Scenario only",U48="Evidence requested",U48="Evidence reviewed")),V48="",NOT(ISNUMBER(W48)),AA48="",AB48=""),"Add assessment support",IF(OR(W48&lt;=0,W48&gt;Methodology!$B$25),"Review date outside period",IF(AND(OR(S48="Closed",S48="Accepted"),OR(X48="",U48&lt;&gt;"Evidence reviewed")),"Closure review needed",IF(OR(S48="Closed",S48="Accepted"),"Decision recorded",IF(U48="Evidence reviewed","Evidence recorded","Scenario documented"))))))</x:f>
      </x:c>
      <x:c r="AA48" s="93"/>
      <x:c r="AB48" s="93"/>
    </x:row>
    <x:row r="49" ht="40" customHeight="1">
      <x:c r="A49" s="93"/>
      <x:c r="B49" s="93"/>
      <x:c r="C49" s="93"/>
      <x:c r="D49" s="93"/>
      <x:c r="E49" s="93"/>
      <x:c r="F49" s="93"/>
      <x:c r="G49" s="102" t="str">
        <x:f>IF(F49="","",IF(F49="Not in place",0,IF(F49="Ad hoc",1,IF(F49="Partial",2,IF(F49="Mostly",3,IF(F49="In place",4,""))))))</x:f>
      </x:c>
      <x:c r="H49" s="93"/>
      <x:c r="I49" s="102" t="str">
        <x:f>IF(H49="","",IF(H49="Not in place",0,IF(H49="Ad hoc",1,IF(H49="Partial",2,IF(H49="Mostly",3,IF(H49="In place",4,""))))))</x:f>
      </x:c>
      <x:c r="J49" s="102" t="str">
        <x:f>IF(A49="","",IF(COUNT(G49,I49)=2,MAX(0,I49-G49),""))</x:f>
      </x:c>
      <x:c r="K49" s="93"/>
      <x:c r="L49" s="102" t="str">
        <x:f>IF(A49="","",IF(COUNT(J49,K49)&lt;&gt;2,"",IF(AND(K49&gt;=1,K49&lt;=3,MOD(K49,1)=0),J49*K49,"")))</x:f>
      </x:c>
      <x:c r="M49" s="102" t="str">
        <x:f>IF(A49="","",IF(ISNUMBER(L49),IF(L49=0,"No Gap",IF(L49&gt;=6,"High",IF(L49&gt;=3,"Medium","Low"))),"Not assessed"))</x:f>
      </x:c>
      <x:c r="N49" s="93"/>
      <x:c r="O49" s="93"/>
      <x:c r="P49" s="93"/>
      <x:c r="Q49" s="93"/>
      <x:c r="R49" s="95"/>
      <x:c r="S49" s="93"/>
      <x:c r="T49" s="93"/>
      <x:c r="U49" s="93"/>
      <x:c r="V49" s="93"/>
      <x:c r="W49" s="95"/>
      <x:c r="X49" s="93"/>
      <x:c r="Y49" s="102" t="str">
        <x:f>IF(COUNTA(A49:F49,H49,K49,N49:X49,AA49:AB49)=0,"",IF(A49="","Missing ID",IF(COUNTIF($A$5:$A$64,A49)&gt;1,"Duplicate ID",IF(OR(B49="",C49="",D49="",E49="",N49="",O49="",P49=""),"Missing assessment context",IF(NOT(ISNUMBER(L49)),"Incomplete or invalid scores",IF(OR(Q49="",NOT(OR(S49="Open",S49="Planned",S49="In Progress",S49="Monitor",S49="Closed",S49="Accepted"))),"Missing owner or invalid status",IF(NOT(ISNUMBER(R49)),"Missing or invalid target date",IF(R49&lt;=0,"Missing or invalid target date",IF(COUNTIFS(Lists!$J$2:$J$23,C49,Lists!$K$2:$K$23,B49)=0,"Category/function mismatch",IF(AND(ISNUMBER(J49),J49&gt;0,S49="Monitor"),"Gap needs action","OK"))))))))))</x:f>
      </x:c>
      <x:c r="Z49" s="102" t="str">
        <x:f>IF(A49="","",IF(OR(T49="",NOT(OR(U49="Scenario only",U49="Evidence requested",U49="Evidence reviewed")),V49="",NOT(ISNUMBER(W49)),AA49="",AB49=""),"Add assessment support",IF(OR(W49&lt;=0,W49&gt;Methodology!$B$25),"Review date outside period",IF(AND(OR(S49="Closed",S49="Accepted"),OR(X49="",U49&lt;&gt;"Evidence reviewed")),"Closure review needed",IF(OR(S49="Closed",S49="Accepted"),"Decision recorded",IF(U49="Evidence reviewed","Evidence recorded","Scenario documented"))))))</x:f>
      </x:c>
      <x:c r="AA49" s="93"/>
      <x:c r="AB49" s="93"/>
    </x:row>
    <x:row r="50" ht="40" customHeight="1">
      <x:c r="A50" s="93"/>
      <x:c r="B50" s="93"/>
      <x:c r="C50" s="93"/>
      <x:c r="D50" s="93"/>
      <x:c r="E50" s="93"/>
      <x:c r="F50" s="93"/>
      <x:c r="G50" s="102" t="str">
        <x:f>IF(F50="","",IF(F50="Not in place",0,IF(F50="Ad hoc",1,IF(F50="Partial",2,IF(F50="Mostly",3,IF(F50="In place",4,""))))))</x:f>
      </x:c>
      <x:c r="H50" s="93"/>
      <x:c r="I50" s="102" t="str">
        <x:f>IF(H50="","",IF(H50="Not in place",0,IF(H50="Ad hoc",1,IF(H50="Partial",2,IF(H50="Mostly",3,IF(H50="In place",4,""))))))</x:f>
      </x:c>
      <x:c r="J50" s="102" t="str">
        <x:f>IF(A50="","",IF(COUNT(G50,I50)=2,MAX(0,I50-G50),""))</x:f>
      </x:c>
      <x:c r="K50" s="93"/>
      <x:c r="L50" s="102" t="str">
        <x:f>IF(A50="","",IF(COUNT(J50,K50)&lt;&gt;2,"",IF(AND(K50&gt;=1,K50&lt;=3,MOD(K50,1)=0),J50*K50,"")))</x:f>
      </x:c>
      <x:c r="M50" s="102" t="str">
        <x:f>IF(A50="","",IF(ISNUMBER(L50),IF(L50=0,"No Gap",IF(L50&gt;=6,"High",IF(L50&gt;=3,"Medium","Low"))),"Not assessed"))</x:f>
      </x:c>
      <x:c r="N50" s="93"/>
      <x:c r="O50" s="93"/>
      <x:c r="P50" s="93"/>
      <x:c r="Q50" s="93"/>
      <x:c r="R50" s="95"/>
      <x:c r="S50" s="93"/>
      <x:c r="T50" s="93"/>
      <x:c r="U50" s="93"/>
      <x:c r="V50" s="93"/>
      <x:c r="W50" s="95"/>
      <x:c r="X50" s="93"/>
      <x:c r="Y50" s="102" t="str">
        <x:f>IF(COUNTA(A50:F50,H50,K50,N50:X50,AA50:AB50)=0,"",IF(A50="","Missing ID",IF(COUNTIF($A$5:$A$64,A50)&gt;1,"Duplicate ID",IF(OR(B50="",C50="",D50="",E50="",N50="",O50="",P50=""),"Missing assessment context",IF(NOT(ISNUMBER(L50)),"Incomplete or invalid scores",IF(OR(Q50="",NOT(OR(S50="Open",S50="Planned",S50="In Progress",S50="Monitor",S50="Closed",S50="Accepted"))),"Missing owner or invalid status",IF(NOT(ISNUMBER(R50)),"Missing or invalid target date",IF(R50&lt;=0,"Missing or invalid target date",IF(COUNTIFS(Lists!$J$2:$J$23,C50,Lists!$K$2:$K$23,B50)=0,"Category/function mismatch",IF(AND(ISNUMBER(J50),J50&gt;0,S50="Monitor"),"Gap needs action","OK"))))))))))</x:f>
      </x:c>
      <x:c r="Z50" s="102" t="str">
        <x:f>IF(A50="","",IF(OR(T50="",NOT(OR(U50="Scenario only",U50="Evidence requested",U50="Evidence reviewed")),V50="",NOT(ISNUMBER(W50)),AA50="",AB50=""),"Add assessment support",IF(OR(W50&lt;=0,W50&gt;Methodology!$B$25),"Review date outside period",IF(AND(OR(S50="Closed",S50="Accepted"),OR(X50="",U50&lt;&gt;"Evidence reviewed")),"Closure review needed",IF(OR(S50="Closed",S50="Accepted"),"Decision recorded",IF(U50="Evidence reviewed","Evidence recorded","Scenario documented"))))))</x:f>
      </x:c>
      <x:c r="AA50" s="93"/>
      <x:c r="AB50" s="93"/>
    </x:row>
    <x:row r="51" ht="40" customHeight="1">
      <x:c r="A51" s="93"/>
      <x:c r="B51" s="93"/>
      <x:c r="C51" s="93"/>
      <x:c r="D51" s="93"/>
      <x:c r="E51" s="93"/>
      <x:c r="F51" s="93"/>
      <x:c r="G51" s="102" t="str">
        <x:f>IF(F51="","",IF(F51="Not in place",0,IF(F51="Ad hoc",1,IF(F51="Partial",2,IF(F51="Mostly",3,IF(F51="In place",4,""))))))</x:f>
      </x:c>
      <x:c r="H51" s="93"/>
      <x:c r="I51" s="102" t="str">
        <x:f>IF(H51="","",IF(H51="Not in place",0,IF(H51="Ad hoc",1,IF(H51="Partial",2,IF(H51="Mostly",3,IF(H51="In place",4,""))))))</x:f>
      </x:c>
      <x:c r="J51" s="102" t="str">
        <x:f>IF(A51="","",IF(COUNT(G51,I51)=2,MAX(0,I51-G51),""))</x:f>
      </x:c>
      <x:c r="K51" s="93"/>
      <x:c r="L51" s="102" t="str">
        <x:f>IF(A51="","",IF(COUNT(J51,K51)&lt;&gt;2,"",IF(AND(K51&gt;=1,K51&lt;=3,MOD(K51,1)=0),J51*K51,"")))</x:f>
      </x:c>
      <x:c r="M51" s="102" t="str">
        <x:f>IF(A51="","",IF(ISNUMBER(L51),IF(L51=0,"No Gap",IF(L51&gt;=6,"High",IF(L51&gt;=3,"Medium","Low"))),"Not assessed"))</x:f>
      </x:c>
      <x:c r="N51" s="93"/>
      <x:c r="O51" s="93"/>
      <x:c r="P51" s="93"/>
      <x:c r="Q51" s="93"/>
      <x:c r="R51" s="95"/>
      <x:c r="S51" s="93"/>
      <x:c r="T51" s="93"/>
      <x:c r="U51" s="93"/>
      <x:c r="V51" s="93"/>
      <x:c r="W51" s="95"/>
      <x:c r="X51" s="93"/>
      <x:c r="Y51" s="102" t="str">
        <x:f>IF(COUNTA(A51:F51,H51,K51,N51:X51,AA51:AB51)=0,"",IF(A51="","Missing ID",IF(COUNTIF($A$5:$A$64,A51)&gt;1,"Duplicate ID",IF(OR(B51="",C51="",D51="",E51="",N51="",O51="",P51=""),"Missing assessment context",IF(NOT(ISNUMBER(L51)),"Incomplete or invalid scores",IF(OR(Q51="",NOT(OR(S51="Open",S51="Planned",S51="In Progress",S51="Monitor",S51="Closed",S51="Accepted"))),"Missing owner or invalid status",IF(NOT(ISNUMBER(R51)),"Missing or invalid target date",IF(R51&lt;=0,"Missing or invalid target date",IF(COUNTIFS(Lists!$J$2:$J$23,C51,Lists!$K$2:$K$23,B51)=0,"Category/function mismatch",IF(AND(ISNUMBER(J51),J51&gt;0,S51="Monitor"),"Gap needs action","OK"))))))))))</x:f>
      </x:c>
      <x:c r="Z51" s="102" t="str">
        <x:f>IF(A51="","",IF(OR(T51="",NOT(OR(U51="Scenario only",U51="Evidence requested",U51="Evidence reviewed")),V51="",NOT(ISNUMBER(W51)),AA51="",AB51=""),"Add assessment support",IF(OR(W51&lt;=0,W51&gt;Methodology!$B$25),"Review date outside period",IF(AND(OR(S51="Closed",S51="Accepted"),OR(X51="",U51&lt;&gt;"Evidence reviewed")),"Closure review needed",IF(OR(S51="Closed",S51="Accepted"),"Decision recorded",IF(U51="Evidence reviewed","Evidence recorded","Scenario documented"))))))</x:f>
      </x:c>
      <x:c r="AA51" s="93"/>
      <x:c r="AB51" s="93"/>
    </x:row>
    <x:row r="52" ht="40" customHeight="1">
      <x:c r="A52" s="93"/>
      <x:c r="B52" s="93"/>
      <x:c r="C52" s="93"/>
      <x:c r="D52" s="93"/>
      <x:c r="E52" s="93"/>
      <x:c r="F52" s="93"/>
      <x:c r="G52" s="102" t="str">
        <x:f>IF(F52="","",IF(F52="Not in place",0,IF(F52="Ad hoc",1,IF(F52="Partial",2,IF(F52="Mostly",3,IF(F52="In place",4,""))))))</x:f>
      </x:c>
      <x:c r="H52" s="93"/>
      <x:c r="I52" s="102" t="str">
        <x:f>IF(H52="","",IF(H52="Not in place",0,IF(H52="Ad hoc",1,IF(H52="Partial",2,IF(H52="Mostly",3,IF(H52="In place",4,""))))))</x:f>
      </x:c>
      <x:c r="J52" s="102" t="str">
        <x:f>IF(A52="","",IF(COUNT(G52,I52)=2,MAX(0,I52-G52),""))</x:f>
      </x:c>
      <x:c r="K52" s="93"/>
      <x:c r="L52" s="102" t="str">
        <x:f>IF(A52="","",IF(COUNT(J52,K52)&lt;&gt;2,"",IF(AND(K52&gt;=1,K52&lt;=3,MOD(K52,1)=0),J52*K52,"")))</x:f>
      </x:c>
      <x:c r="M52" s="102" t="str">
        <x:f>IF(A52="","",IF(ISNUMBER(L52),IF(L52=0,"No Gap",IF(L52&gt;=6,"High",IF(L52&gt;=3,"Medium","Low"))),"Not assessed"))</x:f>
      </x:c>
      <x:c r="N52" s="93"/>
      <x:c r="O52" s="93"/>
      <x:c r="P52" s="93"/>
      <x:c r="Q52" s="93"/>
      <x:c r="R52" s="95"/>
      <x:c r="S52" s="93"/>
      <x:c r="T52" s="93"/>
      <x:c r="U52" s="93"/>
      <x:c r="V52" s="93"/>
      <x:c r="W52" s="95"/>
      <x:c r="X52" s="93"/>
      <x:c r="Y52" s="102" t="str">
        <x:f>IF(COUNTA(A52:F52,H52,K52,N52:X52,AA52:AB52)=0,"",IF(A52="","Missing ID",IF(COUNTIF($A$5:$A$64,A52)&gt;1,"Duplicate ID",IF(OR(B52="",C52="",D52="",E52="",N52="",O52="",P52=""),"Missing assessment context",IF(NOT(ISNUMBER(L52)),"Incomplete or invalid scores",IF(OR(Q52="",NOT(OR(S52="Open",S52="Planned",S52="In Progress",S52="Monitor",S52="Closed",S52="Accepted"))),"Missing owner or invalid status",IF(NOT(ISNUMBER(R52)),"Missing or invalid target date",IF(R52&lt;=0,"Missing or invalid target date",IF(COUNTIFS(Lists!$J$2:$J$23,C52,Lists!$K$2:$K$23,B52)=0,"Category/function mismatch",IF(AND(ISNUMBER(J52),J52&gt;0,S52="Monitor"),"Gap needs action","OK"))))))))))</x:f>
      </x:c>
      <x:c r="Z52" s="102" t="str">
        <x:f>IF(A52="","",IF(OR(T52="",NOT(OR(U52="Scenario only",U52="Evidence requested",U52="Evidence reviewed")),V52="",NOT(ISNUMBER(W52)),AA52="",AB52=""),"Add assessment support",IF(OR(W52&lt;=0,W52&gt;Methodology!$B$25),"Review date outside period",IF(AND(OR(S52="Closed",S52="Accepted"),OR(X52="",U52&lt;&gt;"Evidence reviewed")),"Closure review needed",IF(OR(S52="Closed",S52="Accepted"),"Decision recorded",IF(U52="Evidence reviewed","Evidence recorded","Scenario documented"))))))</x:f>
      </x:c>
      <x:c r="AA52" s="93"/>
      <x:c r="AB52" s="93"/>
    </x:row>
    <x:row r="53" ht="40" customHeight="1">
      <x:c r="A53" s="93"/>
      <x:c r="B53" s="93"/>
      <x:c r="C53" s="93"/>
      <x:c r="D53" s="93"/>
      <x:c r="E53" s="93"/>
      <x:c r="F53" s="93"/>
      <x:c r="G53" s="102" t="str">
        <x:f>IF(F53="","",IF(F53="Not in place",0,IF(F53="Ad hoc",1,IF(F53="Partial",2,IF(F53="Mostly",3,IF(F53="In place",4,""))))))</x:f>
      </x:c>
      <x:c r="H53" s="93"/>
      <x:c r="I53" s="102" t="str">
        <x:f>IF(H53="","",IF(H53="Not in place",0,IF(H53="Ad hoc",1,IF(H53="Partial",2,IF(H53="Mostly",3,IF(H53="In place",4,""))))))</x:f>
      </x:c>
      <x:c r="J53" s="102" t="str">
        <x:f>IF(A53="","",IF(COUNT(G53,I53)=2,MAX(0,I53-G53),""))</x:f>
      </x:c>
      <x:c r="K53" s="93"/>
      <x:c r="L53" s="102" t="str">
        <x:f>IF(A53="","",IF(COUNT(J53,K53)&lt;&gt;2,"",IF(AND(K53&gt;=1,K53&lt;=3,MOD(K53,1)=0),J53*K53,"")))</x:f>
      </x:c>
      <x:c r="M53" s="102" t="str">
        <x:f>IF(A53="","",IF(ISNUMBER(L53),IF(L53=0,"No Gap",IF(L53&gt;=6,"High",IF(L53&gt;=3,"Medium","Low"))),"Not assessed"))</x:f>
      </x:c>
      <x:c r="N53" s="93"/>
      <x:c r="O53" s="93"/>
      <x:c r="P53" s="93"/>
      <x:c r="Q53" s="93"/>
      <x:c r="R53" s="95"/>
      <x:c r="S53" s="93"/>
      <x:c r="T53" s="93"/>
      <x:c r="U53" s="93"/>
      <x:c r="V53" s="93"/>
      <x:c r="W53" s="95"/>
      <x:c r="X53" s="93"/>
      <x:c r="Y53" s="102" t="str">
        <x:f>IF(COUNTA(A53:F53,H53,K53,N53:X53,AA53:AB53)=0,"",IF(A53="","Missing ID",IF(COUNTIF($A$5:$A$64,A53)&gt;1,"Duplicate ID",IF(OR(B53="",C53="",D53="",E53="",N53="",O53="",P53=""),"Missing assessment context",IF(NOT(ISNUMBER(L53)),"Incomplete or invalid scores",IF(OR(Q53="",NOT(OR(S53="Open",S53="Planned",S53="In Progress",S53="Monitor",S53="Closed",S53="Accepted"))),"Missing owner or invalid status",IF(NOT(ISNUMBER(R53)),"Missing or invalid target date",IF(R53&lt;=0,"Missing or invalid target date",IF(COUNTIFS(Lists!$J$2:$J$23,C53,Lists!$K$2:$K$23,B53)=0,"Category/function mismatch",IF(AND(ISNUMBER(J53),J53&gt;0,S53="Monitor"),"Gap needs action","OK"))))))))))</x:f>
      </x:c>
      <x:c r="Z53" s="102" t="str">
        <x:f>IF(A53="","",IF(OR(T53="",NOT(OR(U53="Scenario only",U53="Evidence requested",U53="Evidence reviewed")),V53="",NOT(ISNUMBER(W53)),AA53="",AB53=""),"Add assessment support",IF(OR(W53&lt;=0,W53&gt;Methodology!$B$25),"Review date outside period",IF(AND(OR(S53="Closed",S53="Accepted"),OR(X53="",U53&lt;&gt;"Evidence reviewed")),"Closure review needed",IF(OR(S53="Closed",S53="Accepted"),"Decision recorded",IF(U53="Evidence reviewed","Evidence recorded","Scenario documented"))))))</x:f>
      </x:c>
      <x:c r="AA53" s="93"/>
      <x:c r="AB53" s="93"/>
    </x:row>
    <x:row r="54" ht="40" customHeight="1">
      <x:c r="A54" s="93"/>
      <x:c r="B54" s="93"/>
      <x:c r="C54" s="93"/>
      <x:c r="D54" s="93"/>
      <x:c r="E54" s="93"/>
      <x:c r="F54" s="93"/>
      <x:c r="G54" s="102" t="str">
        <x:f>IF(F54="","",IF(F54="Not in place",0,IF(F54="Ad hoc",1,IF(F54="Partial",2,IF(F54="Mostly",3,IF(F54="In place",4,""))))))</x:f>
      </x:c>
      <x:c r="H54" s="93"/>
      <x:c r="I54" s="102" t="str">
        <x:f>IF(H54="","",IF(H54="Not in place",0,IF(H54="Ad hoc",1,IF(H54="Partial",2,IF(H54="Mostly",3,IF(H54="In place",4,""))))))</x:f>
      </x:c>
      <x:c r="J54" s="102" t="str">
        <x:f>IF(A54="","",IF(COUNT(G54,I54)=2,MAX(0,I54-G54),""))</x:f>
      </x:c>
      <x:c r="K54" s="93"/>
      <x:c r="L54" s="102" t="str">
        <x:f>IF(A54="","",IF(COUNT(J54,K54)&lt;&gt;2,"",IF(AND(K54&gt;=1,K54&lt;=3,MOD(K54,1)=0),J54*K54,"")))</x:f>
      </x:c>
      <x:c r="M54" s="102" t="str">
        <x:f>IF(A54="","",IF(ISNUMBER(L54),IF(L54=0,"No Gap",IF(L54&gt;=6,"High",IF(L54&gt;=3,"Medium","Low"))),"Not assessed"))</x:f>
      </x:c>
      <x:c r="N54" s="93"/>
      <x:c r="O54" s="93"/>
      <x:c r="P54" s="93"/>
      <x:c r="Q54" s="93"/>
      <x:c r="R54" s="95"/>
      <x:c r="S54" s="93"/>
      <x:c r="T54" s="93"/>
      <x:c r="U54" s="93"/>
      <x:c r="V54" s="93"/>
      <x:c r="W54" s="95"/>
      <x:c r="X54" s="93"/>
      <x:c r="Y54" s="102" t="str">
        <x:f>IF(COUNTA(A54:F54,H54,K54,N54:X54,AA54:AB54)=0,"",IF(A54="","Missing ID",IF(COUNTIF($A$5:$A$64,A54)&gt;1,"Duplicate ID",IF(OR(B54="",C54="",D54="",E54="",N54="",O54="",P54=""),"Missing assessment context",IF(NOT(ISNUMBER(L54)),"Incomplete or invalid scores",IF(OR(Q54="",NOT(OR(S54="Open",S54="Planned",S54="In Progress",S54="Monitor",S54="Closed",S54="Accepted"))),"Missing owner or invalid status",IF(NOT(ISNUMBER(R54)),"Missing or invalid target date",IF(R54&lt;=0,"Missing or invalid target date",IF(COUNTIFS(Lists!$J$2:$J$23,C54,Lists!$K$2:$K$23,B54)=0,"Category/function mismatch",IF(AND(ISNUMBER(J54),J54&gt;0,S54="Monitor"),"Gap needs action","OK"))))))))))</x:f>
      </x:c>
      <x:c r="Z54" s="102" t="str">
        <x:f>IF(A54="","",IF(OR(T54="",NOT(OR(U54="Scenario only",U54="Evidence requested",U54="Evidence reviewed")),V54="",NOT(ISNUMBER(W54)),AA54="",AB54=""),"Add assessment support",IF(OR(W54&lt;=0,W54&gt;Methodology!$B$25),"Review date outside period",IF(AND(OR(S54="Closed",S54="Accepted"),OR(X54="",U54&lt;&gt;"Evidence reviewed")),"Closure review needed",IF(OR(S54="Closed",S54="Accepted"),"Decision recorded",IF(U54="Evidence reviewed","Evidence recorded","Scenario documented"))))))</x:f>
      </x:c>
      <x:c r="AA54" s="93"/>
      <x:c r="AB54" s="93"/>
    </x:row>
    <x:row r="55" ht="40" customHeight="1">
      <x:c r="A55" s="93"/>
      <x:c r="B55" s="93"/>
      <x:c r="C55" s="93"/>
      <x:c r="D55" s="93"/>
      <x:c r="E55" s="93"/>
      <x:c r="F55" s="93"/>
      <x:c r="G55" s="102" t="str">
        <x:f>IF(F55="","",IF(F55="Not in place",0,IF(F55="Ad hoc",1,IF(F55="Partial",2,IF(F55="Mostly",3,IF(F55="In place",4,""))))))</x:f>
      </x:c>
      <x:c r="H55" s="93"/>
      <x:c r="I55" s="102" t="str">
        <x:f>IF(H55="","",IF(H55="Not in place",0,IF(H55="Ad hoc",1,IF(H55="Partial",2,IF(H55="Mostly",3,IF(H55="In place",4,""))))))</x:f>
      </x:c>
      <x:c r="J55" s="102" t="str">
        <x:f>IF(A55="","",IF(COUNT(G55,I55)=2,MAX(0,I55-G55),""))</x:f>
      </x:c>
      <x:c r="K55" s="93"/>
      <x:c r="L55" s="102" t="str">
        <x:f>IF(A55="","",IF(COUNT(J55,K55)&lt;&gt;2,"",IF(AND(K55&gt;=1,K55&lt;=3,MOD(K55,1)=0),J55*K55,"")))</x:f>
      </x:c>
      <x:c r="M55" s="102" t="str">
        <x:f>IF(A55="","",IF(ISNUMBER(L55),IF(L55=0,"No Gap",IF(L55&gt;=6,"High",IF(L55&gt;=3,"Medium","Low"))),"Not assessed"))</x:f>
      </x:c>
      <x:c r="N55" s="93"/>
      <x:c r="O55" s="93"/>
      <x:c r="P55" s="93"/>
      <x:c r="Q55" s="93"/>
      <x:c r="R55" s="95"/>
      <x:c r="S55" s="93"/>
      <x:c r="T55" s="93"/>
      <x:c r="U55" s="93"/>
      <x:c r="V55" s="93"/>
      <x:c r="W55" s="95"/>
      <x:c r="X55" s="93"/>
      <x:c r="Y55" s="102" t="str">
        <x:f>IF(COUNTA(A55:F55,H55,K55,N55:X55,AA55:AB55)=0,"",IF(A55="","Missing ID",IF(COUNTIF($A$5:$A$64,A55)&gt;1,"Duplicate ID",IF(OR(B55="",C55="",D55="",E55="",N55="",O55="",P55=""),"Missing assessment context",IF(NOT(ISNUMBER(L55)),"Incomplete or invalid scores",IF(OR(Q55="",NOT(OR(S55="Open",S55="Planned",S55="In Progress",S55="Monitor",S55="Closed",S55="Accepted"))),"Missing owner or invalid status",IF(NOT(ISNUMBER(R55)),"Missing or invalid target date",IF(R55&lt;=0,"Missing or invalid target date",IF(COUNTIFS(Lists!$J$2:$J$23,C55,Lists!$K$2:$K$23,B55)=0,"Category/function mismatch",IF(AND(ISNUMBER(J55),J55&gt;0,S55="Monitor"),"Gap needs action","OK"))))))))))</x:f>
      </x:c>
      <x:c r="Z55" s="102" t="str">
        <x:f>IF(A55="","",IF(OR(T55="",NOT(OR(U55="Scenario only",U55="Evidence requested",U55="Evidence reviewed")),V55="",NOT(ISNUMBER(W55)),AA55="",AB55=""),"Add assessment support",IF(OR(W55&lt;=0,W55&gt;Methodology!$B$25),"Review date outside period",IF(AND(OR(S55="Closed",S55="Accepted"),OR(X55="",U55&lt;&gt;"Evidence reviewed")),"Closure review needed",IF(OR(S55="Closed",S55="Accepted"),"Decision recorded",IF(U55="Evidence reviewed","Evidence recorded","Scenario documented"))))))</x:f>
      </x:c>
      <x:c r="AA55" s="93"/>
      <x:c r="AB55" s="93"/>
    </x:row>
    <x:row r="56" ht="40" customHeight="1">
      <x:c r="A56" s="93"/>
      <x:c r="B56" s="93"/>
      <x:c r="C56" s="93"/>
      <x:c r="D56" s="93"/>
      <x:c r="E56" s="93"/>
      <x:c r="F56" s="93"/>
      <x:c r="G56" s="102" t="str">
        <x:f>IF(F56="","",IF(F56="Not in place",0,IF(F56="Ad hoc",1,IF(F56="Partial",2,IF(F56="Mostly",3,IF(F56="In place",4,""))))))</x:f>
      </x:c>
      <x:c r="H56" s="93"/>
      <x:c r="I56" s="102" t="str">
        <x:f>IF(H56="","",IF(H56="Not in place",0,IF(H56="Ad hoc",1,IF(H56="Partial",2,IF(H56="Mostly",3,IF(H56="In place",4,""))))))</x:f>
      </x:c>
      <x:c r="J56" s="102" t="str">
        <x:f>IF(A56="","",IF(COUNT(G56,I56)=2,MAX(0,I56-G56),""))</x:f>
      </x:c>
      <x:c r="K56" s="93"/>
      <x:c r="L56" s="102" t="str">
        <x:f>IF(A56="","",IF(COUNT(J56,K56)&lt;&gt;2,"",IF(AND(K56&gt;=1,K56&lt;=3,MOD(K56,1)=0),J56*K56,"")))</x:f>
      </x:c>
      <x:c r="M56" s="102" t="str">
        <x:f>IF(A56="","",IF(ISNUMBER(L56),IF(L56=0,"No Gap",IF(L56&gt;=6,"High",IF(L56&gt;=3,"Medium","Low"))),"Not assessed"))</x:f>
      </x:c>
      <x:c r="N56" s="93"/>
      <x:c r="O56" s="93"/>
      <x:c r="P56" s="93"/>
      <x:c r="Q56" s="93"/>
      <x:c r="R56" s="95"/>
      <x:c r="S56" s="93"/>
      <x:c r="T56" s="93"/>
      <x:c r="U56" s="93"/>
      <x:c r="V56" s="93"/>
      <x:c r="W56" s="95"/>
      <x:c r="X56" s="93"/>
      <x:c r="Y56" s="102" t="str">
        <x:f>IF(COUNTA(A56:F56,H56,K56,N56:X56,AA56:AB56)=0,"",IF(A56="","Missing ID",IF(COUNTIF($A$5:$A$64,A56)&gt;1,"Duplicate ID",IF(OR(B56="",C56="",D56="",E56="",N56="",O56="",P56=""),"Missing assessment context",IF(NOT(ISNUMBER(L56)),"Incomplete or invalid scores",IF(OR(Q56="",NOT(OR(S56="Open",S56="Planned",S56="In Progress",S56="Monitor",S56="Closed",S56="Accepted"))),"Missing owner or invalid status",IF(NOT(ISNUMBER(R56)),"Missing or invalid target date",IF(R56&lt;=0,"Missing or invalid target date",IF(COUNTIFS(Lists!$J$2:$J$23,C56,Lists!$K$2:$K$23,B56)=0,"Category/function mismatch",IF(AND(ISNUMBER(J56),J56&gt;0,S56="Monitor"),"Gap needs action","OK"))))))))))</x:f>
      </x:c>
      <x:c r="Z56" s="102" t="str">
        <x:f>IF(A56="","",IF(OR(T56="",NOT(OR(U56="Scenario only",U56="Evidence requested",U56="Evidence reviewed")),V56="",NOT(ISNUMBER(W56)),AA56="",AB56=""),"Add assessment support",IF(OR(W56&lt;=0,W56&gt;Methodology!$B$25),"Review date outside period",IF(AND(OR(S56="Closed",S56="Accepted"),OR(X56="",U56&lt;&gt;"Evidence reviewed")),"Closure review needed",IF(OR(S56="Closed",S56="Accepted"),"Decision recorded",IF(U56="Evidence reviewed","Evidence recorded","Scenario documented"))))))</x:f>
      </x:c>
      <x:c r="AA56" s="93"/>
      <x:c r="AB56" s="93"/>
    </x:row>
    <x:row r="57" ht="40" customHeight="1">
      <x:c r="A57" s="93"/>
      <x:c r="B57" s="93"/>
      <x:c r="C57" s="93"/>
      <x:c r="D57" s="93"/>
      <x:c r="E57" s="93"/>
      <x:c r="F57" s="93"/>
      <x:c r="G57" s="102" t="str">
        <x:f>IF(F57="","",IF(F57="Not in place",0,IF(F57="Ad hoc",1,IF(F57="Partial",2,IF(F57="Mostly",3,IF(F57="In place",4,""))))))</x:f>
      </x:c>
      <x:c r="H57" s="93"/>
      <x:c r="I57" s="102" t="str">
        <x:f>IF(H57="","",IF(H57="Not in place",0,IF(H57="Ad hoc",1,IF(H57="Partial",2,IF(H57="Mostly",3,IF(H57="In place",4,""))))))</x:f>
      </x:c>
      <x:c r="J57" s="102" t="str">
        <x:f>IF(A57="","",IF(COUNT(G57,I57)=2,MAX(0,I57-G57),""))</x:f>
      </x:c>
      <x:c r="K57" s="93"/>
      <x:c r="L57" s="102" t="str">
        <x:f>IF(A57="","",IF(COUNT(J57,K57)&lt;&gt;2,"",IF(AND(K57&gt;=1,K57&lt;=3,MOD(K57,1)=0),J57*K57,"")))</x:f>
      </x:c>
      <x:c r="M57" s="102" t="str">
        <x:f>IF(A57="","",IF(ISNUMBER(L57),IF(L57=0,"No Gap",IF(L57&gt;=6,"High",IF(L57&gt;=3,"Medium","Low"))),"Not assessed"))</x:f>
      </x:c>
      <x:c r="N57" s="93"/>
      <x:c r="O57" s="93"/>
      <x:c r="P57" s="93"/>
      <x:c r="Q57" s="93"/>
      <x:c r="R57" s="95"/>
      <x:c r="S57" s="93"/>
      <x:c r="T57" s="93"/>
      <x:c r="U57" s="93"/>
      <x:c r="V57" s="93"/>
      <x:c r="W57" s="95"/>
      <x:c r="X57" s="93"/>
      <x:c r="Y57" s="102" t="str">
        <x:f>IF(COUNTA(A57:F57,H57,K57,N57:X57,AA57:AB57)=0,"",IF(A57="","Missing ID",IF(COUNTIF($A$5:$A$64,A57)&gt;1,"Duplicate ID",IF(OR(B57="",C57="",D57="",E57="",N57="",O57="",P57=""),"Missing assessment context",IF(NOT(ISNUMBER(L57)),"Incomplete or invalid scores",IF(OR(Q57="",NOT(OR(S57="Open",S57="Planned",S57="In Progress",S57="Monitor",S57="Closed",S57="Accepted"))),"Missing owner or invalid status",IF(NOT(ISNUMBER(R57)),"Missing or invalid target date",IF(R57&lt;=0,"Missing or invalid target date",IF(COUNTIFS(Lists!$J$2:$J$23,C57,Lists!$K$2:$K$23,B57)=0,"Category/function mismatch",IF(AND(ISNUMBER(J57),J57&gt;0,S57="Monitor"),"Gap needs action","OK"))))))))))</x:f>
      </x:c>
      <x:c r="Z57" s="102" t="str">
        <x:f>IF(A57="","",IF(OR(T57="",NOT(OR(U57="Scenario only",U57="Evidence requested",U57="Evidence reviewed")),V57="",NOT(ISNUMBER(W57)),AA57="",AB57=""),"Add assessment support",IF(OR(W57&lt;=0,W57&gt;Methodology!$B$25),"Review date outside period",IF(AND(OR(S57="Closed",S57="Accepted"),OR(X57="",U57&lt;&gt;"Evidence reviewed")),"Closure review needed",IF(OR(S57="Closed",S57="Accepted"),"Decision recorded",IF(U57="Evidence reviewed","Evidence recorded","Scenario documented"))))))</x:f>
      </x:c>
      <x:c r="AA57" s="93"/>
      <x:c r="AB57" s="93"/>
    </x:row>
    <x:row r="58" ht="40" customHeight="1">
      <x:c r="A58" s="93"/>
      <x:c r="B58" s="93"/>
      <x:c r="C58" s="93"/>
      <x:c r="D58" s="93"/>
      <x:c r="E58" s="93"/>
      <x:c r="F58" s="93"/>
      <x:c r="G58" s="102" t="str">
        <x:f>IF(F58="","",IF(F58="Not in place",0,IF(F58="Ad hoc",1,IF(F58="Partial",2,IF(F58="Mostly",3,IF(F58="In place",4,""))))))</x:f>
      </x:c>
      <x:c r="H58" s="93"/>
      <x:c r="I58" s="102" t="str">
        <x:f>IF(H58="","",IF(H58="Not in place",0,IF(H58="Ad hoc",1,IF(H58="Partial",2,IF(H58="Mostly",3,IF(H58="In place",4,""))))))</x:f>
      </x:c>
      <x:c r="J58" s="102" t="str">
        <x:f>IF(A58="","",IF(COUNT(G58,I58)=2,MAX(0,I58-G58),""))</x:f>
      </x:c>
      <x:c r="K58" s="93"/>
      <x:c r="L58" s="102" t="str">
        <x:f>IF(A58="","",IF(COUNT(J58,K58)&lt;&gt;2,"",IF(AND(K58&gt;=1,K58&lt;=3,MOD(K58,1)=0),J58*K58,"")))</x:f>
      </x:c>
      <x:c r="M58" s="102" t="str">
        <x:f>IF(A58="","",IF(ISNUMBER(L58),IF(L58=0,"No Gap",IF(L58&gt;=6,"High",IF(L58&gt;=3,"Medium","Low"))),"Not assessed"))</x:f>
      </x:c>
      <x:c r="N58" s="93"/>
      <x:c r="O58" s="93"/>
      <x:c r="P58" s="93"/>
      <x:c r="Q58" s="93"/>
      <x:c r="R58" s="95"/>
      <x:c r="S58" s="93"/>
      <x:c r="T58" s="93"/>
      <x:c r="U58" s="93"/>
      <x:c r="V58" s="93"/>
      <x:c r="W58" s="95"/>
      <x:c r="X58" s="93"/>
      <x:c r="Y58" s="102" t="str">
        <x:f>IF(COUNTA(A58:F58,H58,K58,N58:X58,AA58:AB58)=0,"",IF(A58="","Missing ID",IF(COUNTIF($A$5:$A$64,A58)&gt;1,"Duplicate ID",IF(OR(B58="",C58="",D58="",E58="",N58="",O58="",P58=""),"Missing assessment context",IF(NOT(ISNUMBER(L58)),"Incomplete or invalid scores",IF(OR(Q58="",NOT(OR(S58="Open",S58="Planned",S58="In Progress",S58="Monitor",S58="Closed",S58="Accepted"))),"Missing owner or invalid status",IF(NOT(ISNUMBER(R58)),"Missing or invalid target date",IF(R58&lt;=0,"Missing or invalid target date",IF(COUNTIFS(Lists!$J$2:$J$23,C58,Lists!$K$2:$K$23,B58)=0,"Category/function mismatch",IF(AND(ISNUMBER(J58),J58&gt;0,S58="Monitor"),"Gap needs action","OK"))))))))))</x:f>
      </x:c>
      <x:c r="Z58" s="102" t="str">
        <x:f>IF(A58="","",IF(OR(T58="",NOT(OR(U58="Scenario only",U58="Evidence requested",U58="Evidence reviewed")),V58="",NOT(ISNUMBER(W58)),AA58="",AB58=""),"Add assessment support",IF(OR(W58&lt;=0,W58&gt;Methodology!$B$25),"Review date outside period",IF(AND(OR(S58="Closed",S58="Accepted"),OR(X58="",U58&lt;&gt;"Evidence reviewed")),"Closure review needed",IF(OR(S58="Closed",S58="Accepted"),"Decision recorded",IF(U58="Evidence reviewed","Evidence recorded","Scenario documented"))))))</x:f>
      </x:c>
      <x:c r="AA58" s="93"/>
      <x:c r="AB58" s="93"/>
    </x:row>
    <x:row r="59" ht="40" customHeight="1">
      <x:c r="A59" s="93"/>
      <x:c r="B59" s="93"/>
      <x:c r="C59" s="93"/>
      <x:c r="D59" s="93"/>
      <x:c r="E59" s="93"/>
      <x:c r="F59" s="93"/>
      <x:c r="G59" s="102" t="str">
        <x:f>IF(F59="","",IF(F59="Not in place",0,IF(F59="Ad hoc",1,IF(F59="Partial",2,IF(F59="Mostly",3,IF(F59="In place",4,""))))))</x:f>
      </x:c>
      <x:c r="H59" s="93"/>
      <x:c r="I59" s="102" t="str">
        <x:f>IF(H59="","",IF(H59="Not in place",0,IF(H59="Ad hoc",1,IF(H59="Partial",2,IF(H59="Mostly",3,IF(H59="In place",4,""))))))</x:f>
      </x:c>
      <x:c r="J59" s="102" t="str">
        <x:f>IF(A59="","",IF(COUNT(G59,I59)=2,MAX(0,I59-G59),""))</x:f>
      </x:c>
      <x:c r="K59" s="93"/>
      <x:c r="L59" s="102" t="str">
        <x:f>IF(A59="","",IF(COUNT(J59,K59)&lt;&gt;2,"",IF(AND(K59&gt;=1,K59&lt;=3,MOD(K59,1)=0),J59*K59,"")))</x:f>
      </x:c>
      <x:c r="M59" s="102" t="str">
        <x:f>IF(A59="","",IF(ISNUMBER(L59),IF(L59=0,"No Gap",IF(L59&gt;=6,"High",IF(L59&gt;=3,"Medium","Low"))),"Not assessed"))</x:f>
      </x:c>
      <x:c r="N59" s="93"/>
      <x:c r="O59" s="93"/>
      <x:c r="P59" s="93"/>
      <x:c r="Q59" s="93"/>
      <x:c r="R59" s="95"/>
      <x:c r="S59" s="93"/>
      <x:c r="T59" s="93"/>
      <x:c r="U59" s="93"/>
      <x:c r="V59" s="93"/>
      <x:c r="W59" s="95"/>
      <x:c r="X59" s="93"/>
      <x:c r="Y59" s="102" t="str">
        <x:f>IF(COUNTA(A59:F59,H59,K59,N59:X59,AA59:AB59)=0,"",IF(A59="","Missing ID",IF(COUNTIF($A$5:$A$64,A59)&gt;1,"Duplicate ID",IF(OR(B59="",C59="",D59="",E59="",N59="",O59="",P59=""),"Missing assessment context",IF(NOT(ISNUMBER(L59)),"Incomplete or invalid scores",IF(OR(Q59="",NOT(OR(S59="Open",S59="Planned",S59="In Progress",S59="Monitor",S59="Closed",S59="Accepted"))),"Missing owner or invalid status",IF(NOT(ISNUMBER(R59)),"Missing or invalid target date",IF(R59&lt;=0,"Missing or invalid target date",IF(COUNTIFS(Lists!$J$2:$J$23,C59,Lists!$K$2:$K$23,B59)=0,"Category/function mismatch",IF(AND(ISNUMBER(J59),J59&gt;0,S59="Monitor"),"Gap needs action","OK"))))))))))</x:f>
      </x:c>
      <x:c r="Z59" s="102" t="str">
        <x:f>IF(A59="","",IF(OR(T59="",NOT(OR(U59="Scenario only",U59="Evidence requested",U59="Evidence reviewed")),V59="",NOT(ISNUMBER(W59)),AA59="",AB59=""),"Add assessment support",IF(OR(W59&lt;=0,W59&gt;Methodology!$B$25),"Review date outside period",IF(AND(OR(S59="Closed",S59="Accepted"),OR(X59="",U59&lt;&gt;"Evidence reviewed")),"Closure review needed",IF(OR(S59="Closed",S59="Accepted"),"Decision recorded",IF(U59="Evidence reviewed","Evidence recorded","Scenario documented"))))))</x:f>
      </x:c>
      <x:c r="AA59" s="93"/>
      <x:c r="AB59" s="93"/>
    </x:row>
    <x:row r="60" ht="40" customHeight="1">
      <x:c r="A60" s="93"/>
      <x:c r="B60" s="93"/>
      <x:c r="C60" s="93"/>
      <x:c r="D60" s="93"/>
      <x:c r="E60" s="93"/>
      <x:c r="F60" s="93"/>
      <x:c r="G60" s="102" t="str">
        <x:f>IF(F60="","",IF(F60="Not in place",0,IF(F60="Ad hoc",1,IF(F60="Partial",2,IF(F60="Mostly",3,IF(F60="In place",4,""))))))</x:f>
      </x:c>
      <x:c r="H60" s="93"/>
      <x:c r="I60" s="102" t="str">
        <x:f>IF(H60="","",IF(H60="Not in place",0,IF(H60="Ad hoc",1,IF(H60="Partial",2,IF(H60="Mostly",3,IF(H60="In place",4,""))))))</x:f>
      </x:c>
      <x:c r="J60" s="102" t="str">
        <x:f>IF(A60="","",IF(COUNT(G60,I60)=2,MAX(0,I60-G60),""))</x:f>
      </x:c>
      <x:c r="K60" s="93"/>
      <x:c r="L60" s="102" t="str">
        <x:f>IF(A60="","",IF(COUNT(J60,K60)&lt;&gt;2,"",IF(AND(K60&gt;=1,K60&lt;=3,MOD(K60,1)=0),J60*K60,"")))</x:f>
      </x:c>
      <x:c r="M60" s="102" t="str">
        <x:f>IF(A60="","",IF(ISNUMBER(L60),IF(L60=0,"No Gap",IF(L60&gt;=6,"High",IF(L60&gt;=3,"Medium","Low"))),"Not assessed"))</x:f>
      </x:c>
      <x:c r="N60" s="93"/>
      <x:c r="O60" s="93"/>
      <x:c r="P60" s="93"/>
      <x:c r="Q60" s="93"/>
      <x:c r="R60" s="95"/>
      <x:c r="S60" s="93"/>
      <x:c r="T60" s="93"/>
      <x:c r="U60" s="93"/>
      <x:c r="V60" s="93"/>
      <x:c r="W60" s="95"/>
      <x:c r="X60" s="93"/>
      <x:c r="Y60" s="102" t="str">
        <x:f>IF(COUNTA(A60:F60,H60,K60,N60:X60,AA60:AB60)=0,"",IF(A60="","Missing ID",IF(COUNTIF($A$5:$A$64,A60)&gt;1,"Duplicate ID",IF(OR(B60="",C60="",D60="",E60="",N60="",O60="",P60=""),"Missing assessment context",IF(NOT(ISNUMBER(L60)),"Incomplete or invalid scores",IF(OR(Q60="",NOT(OR(S60="Open",S60="Planned",S60="In Progress",S60="Monitor",S60="Closed",S60="Accepted"))),"Missing owner or invalid status",IF(NOT(ISNUMBER(R60)),"Missing or invalid target date",IF(R60&lt;=0,"Missing or invalid target date",IF(COUNTIFS(Lists!$J$2:$J$23,C60,Lists!$K$2:$K$23,B60)=0,"Category/function mismatch",IF(AND(ISNUMBER(J60),J60&gt;0,S60="Monitor"),"Gap needs action","OK"))))))))))</x:f>
      </x:c>
      <x:c r="Z60" s="102" t="str">
        <x:f>IF(A60="","",IF(OR(T60="",NOT(OR(U60="Scenario only",U60="Evidence requested",U60="Evidence reviewed")),V60="",NOT(ISNUMBER(W60)),AA60="",AB60=""),"Add assessment support",IF(OR(W60&lt;=0,W60&gt;Methodology!$B$25),"Review date outside period",IF(AND(OR(S60="Closed",S60="Accepted"),OR(X60="",U60&lt;&gt;"Evidence reviewed")),"Closure review needed",IF(OR(S60="Closed",S60="Accepted"),"Decision recorded",IF(U60="Evidence reviewed","Evidence recorded","Scenario documented"))))))</x:f>
      </x:c>
      <x:c r="AA60" s="93"/>
      <x:c r="AB60" s="93"/>
    </x:row>
    <x:row r="61" ht="40" customHeight="1">
      <x:c r="A61" s="93"/>
      <x:c r="B61" s="93"/>
      <x:c r="C61" s="93"/>
      <x:c r="D61" s="93"/>
      <x:c r="E61" s="93"/>
      <x:c r="F61" s="93"/>
      <x:c r="G61" s="102" t="str">
        <x:f>IF(F61="","",IF(F61="Not in place",0,IF(F61="Ad hoc",1,IF(F61="Partial",2,IF(F61="Mostly",3,IF(F61="In place",4,""))))))</x:f>
      </x:c>
      <x:c r="H61" s="93"/>
      <x:c r="I61" s="102" t="str">
        <x:f>IF(H61="","",IF(H61="Not in place",0,IF(H61="Ad hoc",1,IF(H61="Partial",2,IF(H61="Mostly",3,IF(H61="In place",4,""))))))</x:f>
      </x:c>
      <x:c r="J61" s="102" t="str">
        <x:f>IF(A61="","",IF(COUNT(G61,I61)=2,MAX(0,I61-G61),""))</x:f>
      </x:c>
      <x:c r="K61" s="93"/>
      <x:c r="L61" s="102" t="str">
        <x:f>IF(A61="","",IF(COUNT(J61,K61)&lt;&gt;2,"",IF(AND(K61&gt;=1,K61&lt;=3,MOD(K61,1)=0),J61*K61,"")))</x:f>
      </x:c>
      <x:c r="M61" s="102" t="str">
        <x:f>IF(A61="","",IF(ISNUMBER(L61),IF(L61=0,"No Gap",IF(L61&gt;=6,"High",IF(L61&gt;=3,"Medium","Low"))),"Not assessed"))</x:f>
      </x:c>
      <x:c r="N61" s="93"/>
      <x:c r="O61" s="93"/>
      <x:c r="P61" s="93"/>
      <x:c r="Q61" s="93"/>
      <x:c r="R61" s="95"/>
      <x:c r="S61" s="93"/>
      <x:c r="T61" s="93"/>
      <x:c r="U61" s="93"/>
      <x:c r="V61" s="93"/>
      <x:c r="W61" s="95"/>
      <x:c r="X61" s="93"/>
      <x:c r="Y61" s="102" t="str">
        <x:f>IF(COUNTA(A61:F61,H61,K61,N61:X61,AA61:AB61)=0,"",IF(A61="","Missing ID",IF(COUNTIF($A$5:$A$64,A61)&gt;1,"Duplicate ID",IF(OR(B61="",C61="",D61="",E61="",N61="",O61="",P61=""),"Missing assessment context",IF(NOT(ISNUMBER(L61)),"Incomplete or invalid scores",IF(OR(Q61="",NOT(OR(S61="Open",S61="Planned",S61="In Progress",S61="Monitor",S61="Closed",S61="Accepted"))),"Missing owner or invalid status",IF(NOT(ISNUMBER(R61)),"Missing or invalid target date",IF(R61&lt;=0,"Missing or invalid target date",IF(COUNTIFS(Lists!$J$2:$J$23,C61,Lists!$K$2:$K$23,B61)=0,"Category/function mismatch",IF(AND(ISNUMBER(J61),J61&gt;0,S61="Monitor"),"Gap needs action","OK"))))))))))</x:f>
      </x:c>
      <x:c r="Z61" s="102" t="str">
        <x:f>IF(A61="","",IF(OR(T61="",NOT(OR(U61="Scenario only",U61="Evidence requested",U61="Evidence reviewed")),V61="",NOT(ISNUMBER(W61)),AA61="",AB61=""),"Add assessment support",IF(OR(W61&lt;=0,W61&gt;Methodology!$B$25),"Review date outside period",IF(AND(OR(S61="Closed",S61="Accepted"),OR(X61="",U61&lt;&gt;"Evidence reviewed")),"Closure review needed",IF(OR(S61="Closed",S61="Accepted"),"Decision recorded",IF(U61="Evidence reviewed","Evidence recorded","Scenario documented"))))))</x:f>
      </x:c>
      <x:c r="AA61" s="93"/>
      <x:c r="AB61" s="93"/>
    </x:row>
    <x:row r="62" ht="40" customHeight="1">
      <x:c r="A62" s="93"/>
      <x:c r="B62" s="93"/>
      <x:c r="C62" s="93"/>
      <x:c r="D62" s="93"/>
      <x:c r="E62" s="93"/>
      <x:c r="F62" s="93"/>
      <x:c r="G62" s="102" t="str">
        <x:f>IF(F62="","",IF(F62="Not in place",0,IF(F62="Ad hoc",1,IF(F62="Partial",2,IF(F62="Mostly",3,IF(F62="In place",4,""))))))</x:f>
      </x:c>
      <x:c r="H62" s="93"/>
      <x:c r="I62" s="102" t="str">
        <x:f>IF(H62="","",IF(H62="Not in place",0,IF(H62="Ad hoc",1,IF(H62="Partial",2,IF(H62="Mostly",3,IF(H62="In place",4,""))))))</x:f>
      </x:c>
      <x:c r="J62" s="102" t="str">
        <x:f>IF(A62="","",IF(COUNT(G62,I62)=2,MAX(0,I62-G62),""))</x:f>
      </x:c>
      <x:c r="K62" s="93"/>
      <x:c r="L62" s="102" t="str">
        <x:f>IF(A62="","",IF(COUNT(J62,K62)&lt;&gt;2,"",IF(AND(K62&gt;=1,K62&lt;=3,MOD(K62,1)=0),J62*K62,"")))</x:f>
      </x:c>
      <x:c r="M62" s="102" t="str">
        <x:f>IF(A62="","",IF(ISNUMBER(L62),IF(L62=0,"No Gap",IF(L62&gt;=6,"High",IF(L62&gt;=3,"Medium","Low"))),"Not assessed"))</x:f>
      </x:c>
      <x:c r="N62" s="93"/>
      <x:c r="O62" s="93"/>
      <x:c r="P62" s="93"/>
      <x:c r="Q62" s="93"/>
      <x:c r="R62" s="95"/>
      <x:c r="S62" s="93"/>
      <x:c r="T62" s="93"/>
      <x:c r="U62" s="93"/>
      <x:c r="V62" s="93"/>
      <x:c r="W62" s="95"/>
      <x:c r="X62" s="93"/>
      <x:c r="Y62" s="102" t="str">
        <x:f>IF(COUNTA(A62:F62,H62,K62,N62:X62,AA62:AB62)=0,"",IF(A62="","Missing ID",IF(COUNTIF($A$5:$A$64,A62)&gt;1,"Duplicate ID",IF(OR(B62="",C62="",D62="",E62="",N62="",O62="",P62=""),"Missing assessment context",IF(NOT(ISNUMBER(L62)),"Incomplete or invalid scores",IF(OR(Q62="",NOT(OR(S62="Open",S62="Planned",S62="In Progress",S62="Monitor",S62="Closed",S62="Accepted"))),"Missing owner or invalid status",IF(NOT(ISNUMBER(R62)),"Missing or invalid target date",IF(R62&lt;=0,"Missing or invalid target date",IF(COUNTIFS(Lists!$J$2:$J$23,C62,Lists!$K$2:$K$23,B62)=0,"Category/function mismatch",IF(AND(ISNUMBER(J62),J62&gt;0,S62="Monitor"),"Gap needs action","OK"))))))))))</x:f>
      </x:c>
      <x:c r="Z62" s="102" t="str">
        <x:f>IF(A62="","",IF(OR(T62="",NOT(OR(U62="Scenario only",U62="Evidence requested",U62="Evidence reviewed")),V62="",NOT(ISNUMBER(W62)),AA62="",AB62=""),"Add assessment support",IF(OR(W62&lt;=0,W62&gt;Methodology!$B$25),"Review date outside period",IF(AND(OR(S62="Closed",S62="Accepted"),OR(X62="",U62&lt;&gt;"Evidence reviewed")),"Closure review needed",IF(OR(S62="Closed",S62="Accepted"),"Decision recorded",IF(U62="Evidence reviewed","Evidence recorded","Scenario documented"))))))</x:f>
      </x:c>
      <x:c r="AA62" s="93"/>
      <x:c r="AB62" s="93"/>
    </x:row>
    <x:row r="63" ht="40" customHeight="1">
      <x:c r="A63" s="93"/>
      <x:c r="B63" s="93"/>
      <x:c r="C63" s="93"/>
      <x:c r="D63" s="93"/>
      <x:c r="E63" s="93"/>
      <x:c r="F63" s="93"/>
      <x:c r="G63" s="102" t="str">
        <x:f>IF(F63="","",IF(F63="Not in place",0,IF(F63="Ad hoc",1,IF(F63="Partial",2,IF(F63="Mostly",3,IF(F63="In place",4,""))))))</x:f>
      </x:c>
      <x:c r="H63" s="93"/>
      <x:c r="I63" s="102" t="str">
        <x:f>IF(H63="","",IF(H63="Not in place",0,IF(H63="Ad hoc",1,IF(H63="Partial",2,IF(H63="Mostly",3,IF(H63="In place",4,""))))))</x:f>
      </x:c>
      <x:c r="J63" s="102" t="str">
        <x:f>IF(A63="","",IF(COUNT(G63,I63)=2,MAX(0,I63-G63),""))</x:f>
      </x:c>
      <x:c r="K63" s="93"/>
      <x:c r="L63" s="102" t="str">
        <x:f>IF(A63="","",IF(COUNT(J63,K63)&lt;&gt;2,"",IF(AND(K63&gt;=1,K63&lt;=3,MOD(K63,1)=0),J63*K63,"")))</x:f>
      </x:c>
      <x:c r="M63" s="102" t="str">
        <x:f>IF(A63="","",IF(ISNUMBER(L63),IF(L63=0,"No Gap",IF(L63&gt;=6,"High",IF(L63&gt;=3,"Medium","Low"))),"Not assessed"))</x:f>
      </x:c>
      <x:c r="N63" s="93"/>
      <x:c r="O63" s="93"/>
      <x:c r="P63" s="93"/>
      <x:c r="Q63" s="93"/>
      <x:c r="R63" s="95"/>
      <x:c r="S63" s="93"/>
      <x:c r="T63" s="93"/>
      <x:c r="U63" s="93"/>
      <x:c r="V63" s="93"/>
      <x:c r="W63" s="95"/>
      <x:c r="X63" s="93"/>
      <x:c r="Y63" s="102" t="str">
        <x:f>IF(COUNTA(A63:F63,H63,K63,N63:X63,AA63:AB63)=0,"",IF(A63="","Missing ID",IF(COUNTIF($A$5:$A$64,A63)&gt;1,"Duplicate ID",IF(OR(B63="",C63="",D63="",E63="",N63="",O63="",P63=""),"Missing assessment context",IF(NOT(ISNUMBER(L63)),"Incomplete or invalid scores",IF(OR(Q63="",NOT(OR(S63="Open",S63="Planned",S63="In Progress",S63="Monitor",S63="Closed",S63="Accepted"))),"Missing owner or invalid status",IF(NOT(ISNUMBER(R63)),"Missing or invalid target date",IF(R63&lt;=0,"Missing or invalid target date",IF(COUNTIFS(Lists!$J$2:$J$23,C63,Lists!$K$2:$K$23,B63)=0,"Category/function mismatch",IF(AND(ISNUMBER(J63),J63&gt;0,S63="Monitor"),"Gap needs action","OK"))))))))))</x:f>
      </x:c>
      <x:c r="Z63" s="102" t="str">
        <x:f>IF(A63="","",IF(OR(T63="",NOT(OR(U63="Scenario only",U63="Evidence requested",U63="Evidence reviewed")),V63="",NOT(ISNUMBER(W63)),AA63="",AB63=""),"Add assessment support",IF(OR(W63&lt;=0,W63&gt;Methodology!$B$25),"Review date outside period",IF(AND(OR(S63="Closed",S63="Accepted"),OR(X63="",U63&lt;&gt;"Evidence reviewed")),"Closure review needed",IF(OR(S63="Closed",S63="Accepted"),"Decision recorded",IF(U63="Evidence reviewed","Evidence recorded","Scenario documented"))))))</x:f>
      </x:c>
      <x:c r="AA63" s="93"/>
      <x:c r="AB63" s="93"/>
    </x:row>
    <x:row r="64" ht="40" customHeight="1">
      <x:c r="A64" s="93"/>
      <x:c r="B64" s="93"/>
      <x:c r="C64" s="93"/>
      <x:c r="D64" s="93"/>
      <x:c r="E64" s="93"/>
      <x:c r="F64" s="93"/>
      <x:c r="G64" s="102" t="str">
        <x:f>IF(F64="","",IF(F64="Not in place",0,IF(F64="Ad hoc",1,IF(F64="Partial",2,IF(F64="Mostly",3,IF(F64="In place",4,""))))))</x:f>
      </x:c>
      <x:c r="H64" s="93"/>
      <x:c r="I64" s="102" t="str">
        <x:f>IF(H64="","",IF(H64="Not in place",0,IF(H64="Ad hoc",1,IF(H64="Partial",2,IF(H64="Mostly",3,IF(H64="In place",4,""))))))</x:f>
      </x:c>
      <x:c r="J64" s="102" t="str">
        <x:f>IF(A64="","",IF(COUNT(G64,I64)=2,MAX(0,I64-G64),""))</x:f>
      </x:c>
      <x:c r="K64" s="93"/>
      <x:c r="L64" s="102" t="str">
        <x:f>IF(A64="","",IF(COUNT(J64,K64)&lt;&gt;2,"",IF(AND(K64&gt;=1,K64&lt;=3,MOD(K64,1)=0),J64*K64,"")))</x:f>
      </x:c>
      <x:c r="M64" s="102" t="str">
        <x:f>IF(A64="","",IF(ISNUMBER(L64),IF(L64=0,"No Gap",IF(L64&gt;=6,"High",IF(L64&gt;=3,"Medium","Low"))),"Not assessed"))</x:f>
      </x:c>
      <x:c r="N64" s="93"/>
      <x:c r="O64" s="93"/>
      <x:c r="P64" s="93"/>
      <x:c r="Q64" s="93"/>
      <x:c r="R64" s="95"/>
      <x:c r="S64" s="93"/>
      <x:c r="T64" s="93"/>
      <x:c r="U64" s="93"/>
      <x:c r="V64" s="93"/>
      <x:c r="W64" s="95"/>
      <x:c r="X64" s="93"/>
      <x:c r="Y64" s="102" t="str">
        <x:f>IF(COUNTA(A64:F64,H64,K64,N64:X64,AA64:AB64)=0,"",IF(A64="","Missing ID",IF(COUNTIF($A$5:$A$64,A64)&gt;1,"Duplicate ID",IF(OR(B64="",C64="",D64="",E64="",N64="",O64="",P64=""),"Missing assessment context",IF(NOT(ISNUMBER(L64)),"Incomplete or invalid scores",IF(OR(Q64="",NOT(OR(S64="Open",S64="Planned",S64="In Progress",S64="Monitor",S64="Closed",S64="Accepted"))),"Missing owner or invalid status",IF(NOT(ISNUMBER(R64)),"Missing or invalid target date",IF(R64&lt;=0,"Missing or invalid target date",IF(COUNTIFS(Lists!$J$2:$J$23,C64,Lists!$K$2:$K$23,B64)=0,"Category/function mismatch",IF(AND(ISNUMBER(J64),J64&gt;0,S64="Monitor"),"Gap needs action","OK"))))))))))</x:f>
      </x:c>
      <x:c r="Z64" s="102" t="str">
        <x:f>IF(A64="","",IF(OR(T64="",NOT(OR(U64="Scenario only",U64="Evidence requested",U64="Evidence reviewed")),V64="",NOT(ISNUMBER(W64)),AA64="",AB64=""),"Add assessment support",IF(OR(W64&lt;=0,W64&gt;Methodology!$B$25),"Review date outside period",IF(AND(OR(S64="Closed",S64="Accepted"),OR(X64="",U64&lt;&gt;"Evidence reviewed")),"Closure review needed",IF(OR(S64="Closed",S64="Accepted"),"Decision recorded",IF(U64="Evidence reviewed","Evidence recorded","Scenario documented"))))))</x:f>
      </x:c>
      <x:c r="AA64" s="93"/>
      <x:c r="AB64" s="93"/>
    </x:row>
  </x:sheetData>
  <x:mergeCells>
    <x:mergeCell ref="A1:H1"/>
    <x:mergeCell ref="A2:H2"/>
  </x:mergeCells>
  <x:conditionalFormatting sqref="M5:M64">
    <x:cfRule type="expression" dxfId="0" priority="1">
      <x:formula>$M5="High"</x:formula>
    </x:cfRule>
    <x:cfRule type="expression" dxfId="1" priority="2">
      <x:formula>$M5="Medium"</x:formula>
    </x:cfRule>
    <x:cfRule type="expression" dxfId="2" priority="3">
      <x:formula>$M5="Low"</x:formula>
    </x:cfRule>
    <x:cfRule type="expression" dxfId="3" priority="4">
      <x:formula>$M5="No Gap"</x:formula>
    </x:cfRule>
  </x:conditionalFormatting>
  <x:conditionalFormatting sqref="Y5:Y64">
    <x:cfRule type="expression" dxfId="9" priority="7">
      <x:formula>AND($A5&lt;&gt;"",Y5&lt;&gt;"OK",Y5&lt;&gt;"Scenario documented",Y5&lt;&gt;"Evidence recorded",Y5&lt;&gt;"Decision recorded")</x:formula>
    </x:cfRule>
  </x:conditionalFormatting>
  <x:conditionalFormatting sqref="Z5:Z64">
    <x:cfRule type="expression" dxfId="10" priority="8">
      <x:formula>AND($A5&lt;&gt;"",Z5&lt;&gt;"OK",Z5&lt;&gt;"Scenario documented",Z5&lt;&gt;"Evidence recorded",Z5&lt;&gt;"Decision recorded")</x:formula>
    </x:cfRule>
  </x:conditionalFormatting>
  <x:dataValidations count="8">
    <x:dataValidation type="list" sqref="F5:F64">
      <x:formula1>"Not in place,Ad hoc,Partial,Mostly,In place"</x:formula1>
    </x:dataValidation>
    <x:dataValidation type="list" sqref="H5:H64">
      <x:formula1>"Not in place,Ad hoc,Partial,Mostly,In place"</x:formula1>
    </x:dataValidation>
    <x:dataValidation type="list" sqref="K5:K64">
      <x:formula1>"1,2,3"</x:formula1>
    </x:dataValidation>
    <x:dataValidation type="list" sqref="Q5:Q64">
      <x:formula1>Lists!$B$2:$B$10</x:formula1>
    </x:dataValidation>
    <x:dataValidation type="list" sqref="S5:S64">
      <x:formula1>Lists!$C$2:$C$7</x:formula1>
    </x:dataValidation>
    <x:dataValidation type="list" sqref="U5:U64">
      <x:formula1>Lists!$H$2:$H$4</x:formula1>
    </x:dataValidation>
    <x:dataValidation type="list" sqref="C5:C64">
      <x:formula1>Lists!$J$2:$J$23</x:formula1>
    </x:dataValidation>
    <x:dataValidation type="list" sqref="B5:B64">
      <x:formula1>"Govern,Identify,Protect,Detect,Respond,Recover"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6f30e0bf44e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17" hidden="0" customWidth="1"/>
  </x:cols>
  <x:sheetData>
    <x:row r="1" ht="27" customHeight="1">
      <x:c r="A1" s="98" t="str">
        <x:v>Function Summary</x:v>
      </x:c>
      <x:c r="B1" s="98"/>
      <x:c r="C1" s="98"/>
      <x:c r="D1" s="98"/>
      <x:c r="E1" s="98"/>
      <x:c r="F1" s="98"/>
      <x:c r="G1" s="98"/>
      <x:c r="H1" s="98"/>
      <x:c r="I1" s="98"/>
    </x:row>
    <x:row r="2" ht="27" customHeight="1">
      <x:c r="A2" s="79"/>
      <x:c r="B2" s="79"/>
      <x:c r="C2" s="79"/>
      <x:c r="D2" s="79"/>
      <x:c r="E2" s="79"/>
      <x:c r="F2" s="79"/>
      <x:c r="G2" s="79"/>
      <x:c r="H2" s="79"/>
      <x:c r="I2" s="79"/>
    </x:row>
    <x:row r="3" ht="40" customHeight="1">
      <x:c r="A3" s="107" t="str">
        <x:v>Function</x:v>
      </x:c>
      <x:c r="B3" s="107" t="str">
        <x:v>Items</x:v>
      </x:c>
      <x:c r="C3" s="107" t="str">
        <x:v>Avg Current</x:v>
      </x:c>
      <x:c r="D3" s="107" t="str">
        <x:v>Avg Target</x:v>
      </x:c>
      <x:c r="E3" s="107" t="str">
        <x:v>Avg Gap</x:v>
      </x:c>
      <x:c r="F3" s="107" t="str">
        <x:v>At Target</x:v>
      </x:c>
      <x:c r="G3" s="107" t="str">
        <x:v>High-Priority Gaps</x:v>
      </x:c>
      <x:c r="H3" s="107" t="str">
        <x:v>Scored Items</x:v>
      </x:c>
      <x:c r="I3" s="79"/>
    </x:row>
    <x:row r="4" ht="27" customHeight="1">
      <x:c r="A4" s="79" t="str">
        <x:v>Govern</x:v>
      </x:c>
      <x:c r="B4" s="79" t="n">
        <x:f>COUNTIFS('CSF Profile Assessment'!$B$5:$B$64,A4,'CSF Profile Assessment'!$A$5:$A$64,"&lt;&gt;")</x:f>
        <x:v>6</x:v>
      </x:c>
      <x:c r="C4" s="132" t="n">
        <x:f>IF(H4=0,"",SUMIFS('CSF Profile Assessment'!$G$5:$G$64,'CSF Profile Assessment'!$B$5:$B$64,A4,'CSF Profile Assessment'!$A$5:$A$64,"&lt;&gt;",'CSF Profile Assessment'!$M$5:$M$64,"&lt;&gt;Not assessed")/H4)</x:f>
        <x:v>1.5</x:v>
      </x:c>
      <x:c r="D4" s="132" t="n">
        <x:f>IF(H4=0,"",SUMIFS('CSF Profile Assessment'!$I$5:$I$64,'CSF Profile Assessment'!$B$5:$B$64,A4,'CSF Profile Assessment'!$A$5:$A$64,"&lt;&gt;",'CSF Profile Assessment'!$M$5:$M$64,"&lt;&gt;Not assessed")/H4)</x:f>
        <x:v>3</x:v>
      </x:c>
      <x:c r="E4" s="132" t="n">
        <x:f>IF(H4=0,"",SUMIFS('CSF Profile Assessment'!$J$5:$J$64,'CSF Profile Assessment'!$B$5:$B$64,A4,'CSF Profile Assessment'!$A$5:$A$64,"&lt;&gt;",'CSF Profile Assessment'!$M$5:$M$64,"&lt;&gt;Not assessed")/H4)</x:f>
        <x:v>1.5</x:v>
      </x:c>
      <x:c r="F4" s="133" t="n">
        <x:f>IF(H4=0,"",COUNTIFS('CSF Profile Assessment'!$B$5:$B$64,A4,'CSF Profile Assessment'!$A$5:$A$64,"&lt;&gt;",'CSF Profile Assessment'!$M$5:$M$64,"No Gap")/H4)</x:f>
        <x:v>0</x:v>
      </x:c>
      <x:c r="G4" s="79" t="n">
        <x:f>COUNTIFS('CSF Profile Assessment'!$B$5:$B$64,A4,'CSF Profile Assessment'!$M$5:$M$64,"High")</x:f>
        <x:v>2</x:v>
      </x:c>
      <x:c r="H4" s="134" t="n">
        <x:f>COUNTIFS('CSF Profile Assessment'!$B$5:$B$64,A4,'CSF Profile Assessment'!$A$5:$A$64,"&lt;&gt;",'CSF Profile Assessment'!$M$5:$M$64,"&lt;&gt;Not assessed")</x:f>
        <x:v>6</x:v>
      </x:c>
      <x:c r="I4" s="79"/>
    </x:row>
    <x:row r="5" ht="27" customHeight="1">
      <x:c r="A5" s="79" t="str">
        <x:v>Identify</x:v>
      </x:c>
      <x:c r="B5" s="79" t="n">
        <x:f>COUNTIFS('CSF Profile Assessment'!$B$5:$B$64,A5,'CSF Profile Assessment'!$A$5:$A$64,"&lt;&gt;")</x:f>
        <x:v>5</x:v>
      </x:c>
      <x:c r="C5" s="132" t="n">
        <x:f>IF(H5=0,"",SUMIFS('CSF Profile Assessment'!$G$5:$G$64,'CSF Profile Assessment'!$B$5:$B$64,A5,'CSF Profile Assessment'!$A$5:$A$64,"&lt;&gt;",'CSF Profile Assessment'!$M$5:$M$64,"&lt;&gt;Not assessed")/H5)</x:f>
        <x:v>2.4</x:v>
      </x:c>
      <x:c r="D5" s="132" t="n">
        <x:f>IF(H5=0,"",SUMIFS('CSF Profile Assessment'!$I$5:$I$64,'CSF Profile Assessment'!$B$5:$B$64,A5,'CSF Profile Assessment'!$A$5:$A$64,"&lt;&gt;",'CSF Profile Assessment'!$M$5:$M$64,"&lt;&gt;Not assessed")/H5)</x:f>
        <x:v>3.4</x:v>
      </x:c>
      <x:c r="E5" s="132" t="n">
        <x:f>IF(H5=0,"",SUMIFS('CSF Profile Assessment'!$J$5:$J$64,'CSF Profile Assessment'!$B$5:$B$64,A5,'CSF Profile Assessment'!$A$5:$A$64,"&lt;&gt;",'CSF Profile Assessment'!$M$5:$M$64,"&lt;&gt;Not assessed")/H5)</x:f>
        <x:v>1</x:v>
      </x:c>
      <x:c r="F5" s="133" t="n">
        <x:f>IF(H5=0,"",COUNTIFS('CSF Profile Assessment'!$B$5:$B$64,A5,'CSF Profile Assessment'!$A$5:$A$64,"&lt;&gt;",'CSF Profile Assessment'!$M$5:$M$64,"No Gap")/H5)</x:f>
        <x:v>0.2</x:v>
      </x:c>
      <x:c r="G5" s="79" t="n">
        <x:f>COUNTIFS('CSF Profile Assessment'!$B$5:$B$64,A5,'CSF Profile Assessment'!$M$5:$M$64,"High")</x:f>
        <x:v>1</x:v>
      </x:c>
      <x:c r="H5" s="134" t="n">
        <x:f>COUNTIFS('CSF Profile Assessment'!$B$5:$B$64,A5,'CSF Profile Assessment'!$A$5:$A$64,"&lt;&gt;",'CSF Profile Assessment'!$M$5:$M$64,"&lt;&gt;Not assessed")</x:f>
        <x:v>5</x:v>
      </x:c>
      <x:c r="I5" s="79"/>
    </x:row>
    <x:row r="6" ht="27" customHeight="1">
      <x:c r="A6" s="79" t="str">
        <x:v>Protect</x:v>
      </x:c>
      <x:c r="B6" s="79" t="n">
        <x:f>COUNTIFS('CSF Profile Assessment'!$B$5:$B$64,A6,'CSF Profile Assessment'!$A$5:$A$64,"&lt;&gt;")</x:f>
        <x:v>9</x:v>
      </x:c>
      <x:c r="C6" s="132" t="n">
        <x:f>IF(H6=0,"",SUMIFS('CSF Profile Assessment'!$G$5:$G$64,'CSF Profile Assessment'!$B$5:$B$64,A6,'CSF Profile Assessment'!$A$5:$A$64,"&lt;&gt;",'CSF Profile Assessment'!$M$5:$M$64,"&lt;&gt;Not assessed")/H6)</x:f>
        <x:v>2.2222222222222223</x:v>
      </x:c>
      <x:c r="D6" s="132" t="n">
        <x:f>IF(H6=0,"",SUMIFS('CSF Profile Assessment'!$I$5:$I$64,'CSF Profile Assessment'!$B$5:$B$64,A6,'CSF Profile Assessment'!$A$5:$A$64,"&lt;&gt;",'CSF Profile Assessment'!$M$5:$M$64,"&lt;&gt;Not assessed")/H6)</x:f>
        <x:v>3.4444444444444446</x:v>
      </x:c>
      <x:c r="E6" s="132" t="n">
        <x:f>IF(H6=0,"",SUMIFS('CSF Profile Assessment'!$J$5:$J$64,'CSF Profile Assessment'!$B$5:$B$64,A6,'CSF Profile Assessment'!$A$5:$A$64,"&lt;&gt;",'CSF Profile Assessment'!$M$5:$M$64,"&lt;&gt;Not assessed")/H6)</x:f>
        <x:v>1.2222222222222223</x:v>
      </x:c>
      <x:c r="F6" s="133" t="n">
        <x:f>IF(H6=0,"",COUNTIFS('CSF Profile Assessment'!$B$5:$B$64,A6,'CSF Profile Assessment'!$A$5:$A$64,"&lt;&gt;",'CSF Profile Assessment'!$M$5:$M$64,"No Gap")/H6)</x:f>
        <x:v>0.1111111111111111</x:v>
      </x:c>
      <x:c r="G6" s="79" t="n">
        <x:f>COUNTIFS('CSF Profile Assessment'!$B$5:$B$64,A6,'CSF Profile Assessment'!$M$5:$M$64,"High")</x:f>
        <x:v>3</x:v>
      </x:c>
      <x:c r="H6" s="134" t="n">
        <x:f>COUNTIFS('CSF Profile Assessment'!$B$5:$B$64,A6,'CSF Profile Assessment'!$A$5:$A$64,"&lt;&gt;",'CSF Profile Assessment'!$M$5:$M$64,"&lt;&gt;Not assessed")</x:f>
        <x:v>9</x:v>
      </x:c>
      <x:c r="I6" s="79"/>
    </x:row>
    <x:row r="7" ht="27" customHeight="1">
      <x:c r="A7" s="79" t="str">
        <x:v>Detect</x:v>
      </x:c>
      <x:c r="B7" s="79" t="n">
        <x:f>COUNTIFS('CSF Profile Assessment'!$B$5:$B$64,A7,'CSF Profile Assessment'!$A$5:$A$64,"&lt;&gt;")</x:f>
        <x:v>4</x:v>
      </x:c>
      <x:c r="C7" s="132" t="n">
        <x:f>IF(H7=0,"",SUMIFS('CSF Profile Assessment'!$G$5:$G$64,'CSF Profile Assessment'!$B$5:$B$64,A7,'CSF Profile Assessment'!$A$5:$A$64,"&lt;&gt;",'CSF Profile Assessment'!$M$5:$M$64,"&lt;&gt;Not assessed")/H7)</x:f>
        <x:v>2.25</x:v>
      </x:c>
      <x:c r="D7" s="132" t="n">
        <x:f>IF(H7=0,"",SUMIFS('CSF Profile Assessment'!$I$5:$I$64,'CSF Profile Assessment'!$B$5:$B$64,A7,'CSF Profile Assessment'!$A$5:$A$64,"&lt;&gt;",'CSF Profile Assessment'!$M$5:$M$64,"&lt;&gt;Not assessed")/H7)</x:f>
        <x:v>3.5</x:v>
      </x:c>
      <x:c r="E7" s="132" t="n">
        <x:f>IF(H7=0,"",SUMIFS('CSF Profile Assessment'!$J$5:$J$64,'CSF Profile Assessment'!$B$5:$B$64,A7,'CSF Profile Assessment'!$A$5:$A$64,"&lt;&gt;",'CSF Profile Assessment'!$M$5:$M$64,"&lt;&gt;Not assessed")/H7)</x:f>
        <x:v>1.25</x:v>
      </x:c>
      <x:c r="F7" s="133" t="n">
        <x:f>IF(H7=0,"",COUNTIFS('CSF Profile Assessment'!$B$5:$B$64,A7,'CSF Profile Assessment'!$A$5:$A$64,"&lt;&gt;",'CSF Profile Assessment'!$M$5:$M$64,"No Gap")/H7)</x:f>
        <x:v>0.25</x:v>
      </x:c>
      <x:c r="G7" s="79" t="n">
        <x:f>COUNTIFS('CSF Profile Assessment'!$B$5:$B$64,A7,'CSF Profile Assessment'!$M$5:$M$64,"High")</x:f>
        <x:v>2</x:v>
      </x:c>
      <x:c r="H7" s="134" t="n">
        <x:f>COUNTIFS('CSF Profile Assessment'!$B$5:$B$64,A7,'CSF Profile Assessment'!$A$5:$A$64,"&lt;&gt;",'CSF Profile Assessment'!$M$5:$M$64,"&lt;&gt;Not assessed")</x:f>
        <x:v>4</x:v>
      </x:c>
      <x:c r="I7" s="79"/>
    </x:row>
    <x:row r="8" ht="27" customHeight="1">
      <x:c r="A8" s="79" t="str">
        <x:v>Respond</x:v>
      </x:c>
      <x:c r="B8" s="79" t="n">
        <x:f>COUNTIFS('CSF Profile Assessment'!$B$5:$B$64,A8,'CSF Profile Assessment'!$A$5:$A$64,"&lt;&gt;")</x:f>
        <x:v>5</x:v>
      </x:c>
      <x:c r="C8" s="132" t="n">
        <x:f>IF(H8=0,"",SUMIFS('CSF Profile Assessment'!$G$5:$G$64,'CSF Profile Assessment'!$B$5:$B$64,A8,'CSF Profile Assessment'!$A$5:$A$64,"&lt;&gt;",'CSF Profile Assessment'!$M$5:$M$64,"&lt;&gt;Not assessed")/H8)</x:f>
        <x:v>1.6</x:v>
      </x:c>
      <x:c r="D8" s="132" t="n">
        <x:f>IF(H8=0,"",SUMIFS('CSF Profile Assessment'!$I$5:$I$64,'CSF Profile Assessment'!$B$5:$B$64,A8,'CSF Profile Assessment'!$A$5:$A$64,"&lt;&gt;",'CSF Profile Assessment'!$M$5:$M$64,"&lt;&gt;Not assessed")/H8)</x:f>
        <x:v>3</x:v>
      </x:c>
      <x:c r="E8" s="132" t="n">
        <x:f>IF(H8=0,"",SUMIFS('CSF Profile Assessment'!$J$5:$J$64,'CSF Profile Assessment'!$B$5:$B$64,A8,'CSF Profile Assessment'!$A$5:$A$64,"&lt;&gt;",'CSF Profile Assessment'!$M$5:$M$64,"&lt;&gt;Not assessed")/H8)</x:f>
        <x:v>1.4</x:v>
      </x:c>
      <x:c r="F8" s="133" t="n">
        <x:f>IF(H8=0,"",COUNTIFS('CSF Profile Assessment'!$B$5:$B$64,A8,'CSF Profile Assessment'!$A$5:$A$64,"&lt;&gt;",'CSF Profile Assessment'!$M$5:$M$64,"No Gap")/H8)</x:f>
        <x:v>0</x:v>
      </x:c>
      <x:c r="G8" s="79" t="n">
        <x:f>COUNTIFS('CSF Profile Assessment'!$B$5:$B$64,A8,'CSF Profile Assessment'!$M$5:$M$64,"High")</x:f>
        <x:v>2</x:v>
      </x:c>
      <x:c r="H8" s="134" t="n">
        <x:f>COUNTIFS('CSF Profile Assessment'!$B$5:$B$64,A8,'CSF Profile Assessment'!$A$5:$A$64,"&lt;&gt;",'CSF Profile Assessment'!$M$5:$M$64,"&lt;&gt;Not assessed")</x:f>
        <x:v>5</x:v>
      </x:c>
      <x:c r="I8" s="79"/>
    </x:row>
    <x:row r="9" ht="27" customHeight="1">
      <x:c r="A9" s="79" t="str">
        <x:v>Recover</x:v>
      </x:c>
      <x:c r="B9" s="79" t="n">
        <x:f>COUNTIFS('CSF Profile Assessment'!$B$5:$B$64,A9,'CSF Profile Assessment'!$A$5:$A$64,"&lt;&gt;")</x:f>
        <x:v>2</x:v>
      </x:c>
      <x:c r="C9" s="132" t="n">
        <x:f>IF(H9=0,"",SUMIFS('CSF Profile Assessment'!$G$5:$G$64,'CSF Profile Assessment'!$B$5:$B$64,A9,'CSF Profile Assessment'!$A$5:$A$64,"&lt;&gt;",'CSF Profile Assessment'!$M$5:$M$64,"&lt;&gt;Not assessed")/H9)</x:f>
        <x:v>2.5</x:v>
      </x:c>
      <x:c r="D9" s="132" t="n">
        <x:f>IF(H9=0,"",SUMIFS('CSF Profile Assessment'!$I$5:$I$64,'CSF Profile Assessment'!$B$5:$B$64,A9,'CSF Profile Assessment'!$A$5:$A$64,"&lt;&gt;",'CSF Profile Assessment'!$M$5:$M$64,"&lt;&gt;Not assessed")/H9)</x:f>
        <x:v>3</x:v>
      </x:c>
      <x:c r="E9" s="132" t="n">
        <x:f>IF(H9=0,"",SUMIFS('CSF Profile Assessment'!$J$5:$J$64,'CSF Profile Assessment'!$B$5:$B$64,A9,'CSF Profile Assessment'!$A$5:$A$64,"&lt;&gt;",'CSF Profile Assessment'!$M$5:$M$64,"&lt;&gt;Not assessed")/H9)</x:f>
        <x:v>0.5</x:v>
      </x:c>
      <x:c r="F9" s="133" t="n">
        <x:f>IF(H9=0,"",COUNTIFS('CSF Profile Assessment'!$B$5:$B$64,A9,'CSF Profile Assessment'!$A$5:$A$64,"&lt;&gt;",'CSF Profile Assessment'!$M$5:$M$64,"No Gap")/H9)</x:f>
        <x:v>0.5</x:v>
      </x:c>
      <x:c r="G9" s="79" t="n">
        <x:f>COUNTIFS('CSF Profile Assessment'!$B$5:$B$64,A9,'CSF Profile Assessment'!$M$5:$M$64,"High")</x:f>
        <x:v>0</x:v>
      </x:c>
      <x:c r="H9" s="134" t="n">
        <x:f>COUNTIFS('CSF Profile Assessment'!$B$5:$B$64,A9,'CSF Profile Assessment'!$A$5:$A$64,"&lt;&gt;",'CSF Profile Assessment'!$M$5:$M$64,"&lt;&gt;Not assessed")</x:f>
        <x:v>2</x:v>
      </x:c>
      <x:c r="I9" s="79"/>
    </x:row>
    <x:row r="10" ht="27" customHeight="1">
      <x:c r="A10" s="79"/>
      <x:c r="B10" s="79"/>
      <x:c r="C10" s="79"/>
      <x:c r="D10" s="79"/>
      <x:c r="E10" s="79"/>
      <x:c r="F10" s="79"/>
      <x:c r="G10" s="79"/>
      <x:c r="H10" s="79"/>
      <x:c r="I10" s="79"/>
    </x:row>
    <x:row r="11" ht="27" customHeight="1">
      <x:c r="A11" s="79"/>
      <x:c r="B11" s="79"/>
      <x:c r="C11" s="79"/>
      <x:c r="D11" s="79"/>
      <x:c r="E11" s="79"/>
      <x:c r="F11" s="79"/>
      <x:c r="G11" s="79"/>
      <x:c r="H11" s="79"/>
      <x:c r="I11" s="79"/>
    </x:row>
    <x:row r="12" ht="27" customHeight="1">
      <x:c r="A12" s="107" t="str">
        <x:v>Overall Measure</x:v>
      </x:c>
      <x:c r="B12" s="107" t="str">
        <x:v>Value</x:v>
      </x:c>
      <x:c r="C12" s="79"/>
      <x:c r="D12" s="79"/>
      <x:c r="E12" s="79"/>
      <x:c r="F12" s="79"/>
      <x:c r="G12" s="79"/>
      <x:c r="H12" s="79"/>
      <x:c r="I12" s="79"/>
    </x:row>
    <x:row r="13" ht="27" customHeight="1">
      <x:c r="A13" s="79" t="str">
        <x:v>Assessment records</x:v>
      </x:c>
      <x:c r="B13" s="134" t="n">
        <x:f>COUNTA('CSF Profile Assessment'!$A$5:$A$64)</x:f>
        <x:v>31</x:v>
      </x:c>
      <x:c r="C13" s="79"/>
      <x:c r="D13" s="79"/>
      <x:c r="E13" s="79"/>
      <x:c r="F13" s="79"/>
      <x:c r="G13" s="79"/>
      <x:c r="H13" s="79"/>
      <x:c r="I13" s="79"/>
    </x:row>
    <x:row r="14" ht="27" customHeight="1">
      <x:c r="A14" s="79" t="str">
        <x:v>No-Gap Items</x:v>
      </x:c>
      <x:c r="B14" s="134" t="n">
        <x:f>COUNTIF('CSF Profile Assessment'!$M$5:$M$64,"No Gap")</x:f>
        <x:v>4</x:v>
      </x:c>
      <x:c r="C14" s="79"/>
      <x:c r="D14" s="79"/>
      <x:c r="E14" s="79"/>
      <x:c r="F14" s="79"/>
      <x:c r="G14" s="79"/>
      <x:c r="H14" s="79"/>
      <x:c r="I14" s="79"/>
    </x:row>
    <x:row r="15" ht="27" customHeight="1">
      <x:c r="A15" s="79" t="str">
        <x:v>High-Priority Gaps</x:v>
      </x:c>
      <x:c r="B15" s="134" t="n">
        <x:f>COUNTIF('CSF Profile Assessment'!$M$5:$M$64,"High")</x:f>
        <x:v>10</x:v>
      </x:c>
      <x:c r="C15" s="79"/>
      <x:c r="D15" s="79"/>
      <x:c r="E15" s="79"/>
      <x:c r="F15" s="79"/>
      <x:c r="G15" s="79"/>
      <x:c r="H15" s="79"/>
      <x:c r="I15" s="79"/>
    </x:row>
    <x:row r="16" ht="27" customHeight="1">
      <x:c r="A16" s="79" t="str">
        <x:v>Medium-Priority Gaps</x:v>
      </x:c>
      <x:c r="B16" s="134" t="n">
        <x:f>COUNTIF('CSF Profile Assessment'!$M$5:$M$64,"Medium")</x:f>
        <x:v>11</x:v>
      </x:c>
      <x:c r="C16" s="79"/>
      <x:c r="D16" s="79"/>
      <x:c r="E16" s="79"/>
      <x:c r="F16" s="79"/>
      <x:c r="G16" s="79"/>
      <x:c r="H16" s="79"/>
      <x:c r="I16" s="79"/>
    </x:row>
    <x:row r="17" ht="27" customHeight="1">
      <x:c r="A17" s="79" t="str">
        <x:v>Low-Priority Gaps</x:v>
      </x:c>
      <x:c r="B17" s="134" t="n">
        <x:f>COUNTIF('CSF Profile Assessment'!$M$5:$M$64,"Low")</x:f>
        <x:v>6</x:v>
      </x:c>
      <x:c r="C17" s="79"/>
      <x:c r="D17" s="79"/>
      <x:c r="E17" s="79"/>
      <x:c r="F17" s="79"/>
      <x:c r="G17" s="79"/>
      <x:c r="H17" s="79"/>
      <x:c r="I17" s="79"/>
    </x:row>
    <x:row r="18" ht="27" customHeight="1">
      <x:c r="A18" s="88" t="str">
        <x:v>Not assessed</x:v>
      </x:c>
      <x:c r="B18" s="135" t="n">
        <x:f>COUNTIF('CSF Profile Assessment'!$M$5:$M$64,"Not assessed")</x:f>
        <x:v>0</x:v>
      </x:c>
      <x:c r="C18" s="79"/>
      <x:c r="D18" s="79"/>
      <x:c r="E18" s="79"/>
      <x:c r="F18" s="79"/>
      <x:c r="G18" s="79"/>
      <x:c r="H18" s="79"/>
      <x:c r="I18" s="79"/>
    </x:row>
    <x:row r="19" ht="27" customHeight="1">
      <x:c r="A19" s="88" t="str">
        <x:v>Input checks needing attention</x:v>
      </x:c>
      <x:c r="B19" s="135" t="n">
        <x:f>COUNTIF('CSF Profile Assessment'!$Y$5:$Y$64,"Missing ID")+COUNTIF('CSF Profile Assessment'!$Y$5:$Y$64,"Duplicate ID")+COUNTIF('CSF Profile Assessment'!$Y$5:$Y$64,"Missing assessment context")+COUNTIF('CSF Profile Assessment'!$Y$5:$Y$64,"Incomplete or invalid scores")+COUNTIF('CSF Profile Assessment'!$Y$5:$Y$64,"Missing owner or invalid status")+COUNTIF('CSF Profile Assessment'!$Y$5:$Y$64,"Missing or invalid target date")+COUNTIF('CSF Profile Assessment'!$Y$5:$Y$64,"Gap needs action")+COUNTIF('CSF Profile Assessment'!$Y$5:$Y$64,"Category/function mismatch")</x:f>
        <x:v>0</x:v>
      </x:c>
      <x:c r="C19" s="79"/>
      <x:c r="D19" s="79"/>
      <x:c r="E19" s="79"/>
      <x:c r="F19" s="79"/>
      <x:c r="G19" s="79"/>
      <x:c r="H19" s="79"/>
      <x:c r="I19" s="79"/>
    </x:row>
    <x:row r="20" ht="27" customHeight="1">
      <x:c r="A20" s="88" t="str">
        <x:v>Assessment support missing</x:v>
      </x:c>
      <x:c r="B20" s="135" t="n">
        <x:f>COUNTIF('CSF Profile Assessment'!$Z$5:$Z$64,"Add assessment support")+COUNTIF('CSF Profile Assessment'!$Z$5:$Z$64,"Review date outside period")</x:f>
        <x:v>0</x:v>
      </x:c>
      <x:c r="C20" s="79"/>
      <x:c r="D20" s="79"/>
      <x:c r="E20" s="79"/>
      <x:c r="F20" s="79"/>
      <x:c r="G20" s="79"/>
      <x:c r="H20" s="79"/>
      <x:c r="I20" s="79"/>
    </x:row>
    <x:row r="21" ht="27" customHeight="1">
      <x:c r="A21" s="88" t="str">
        <x:v>Closure reviews needed</x:v>
      </x:c>
      <x:c r="B21" s="135" t="n">
        <x:f>COUNTIF('CSF Profile Assessment'!$Z$5:$Z$64,"Closure review needed")</x:f>
        <x:v>0</x:v>
      </x:c>
      <x:c r="C21" s="79"/>
      <x:c r="D21" s="79"/>
      <x:c r="E21" s="79"/>
      <x:c r="F21" s="79"/>
      <x:c r="G21" s="79"/>
      <x:c r="H21" s="79"/>
      <x:c r="I21" s="79"/>
    </x:row>
    <x:row r="22" ht="27" customHeight="1">
      <x:c r="A22" s="79" t="str">
        <x:v>Scenario-only records</x:v>
      </x:c>
      <x:c r="B22" s="79" t="n">
        <x:f>COUNTIF('CSF Profile Assessment'!$U$5:$U$64,"Scenario only")</x:f>
        <x:v>31</x:v>
      </x:c>
      <x:c r="C22" s="79"/>
      <x:c r="D22" s="79"/>
      <x:c r="E22" s="79"/>
      <x:c r="F22" s="79"/>
      <x:c r="G22" s="79"/>
      <x:c r="H22" s="79"/>
      <x:c r="I22" s="79"/>
    </x:row>
    <x:row r="23" ht="27" customHeight="1">
      <x:c r="A23" s="88" t="str">
        <x:v>Evidence-reviewed records</x:v>
      </x:c>
      <x:c r="B23" s="88" t="n">
        <x:f>COUNTIF('CSF Profile Assessment'!$U$5:$U$64,"Evidence reviewed")</x:f>
        <x:v>0</x:v>
      </x:c>
      <x:c r="C23" s="88"/>
      <x:c r="D23" s="88"/>
      <x:c r="E23" s="88"/>
      <x:c r="F23" s="88"/>
      <x:c r="G23" s="88"/>
      <x:c r="H23" s="88"/>
      <x:c r="I23" s="79"/>
    </x:row>
    <x:row r="24" ht="27" customHeight="1">
      <x:c r="A24" s="88" t="str">
        <x:v>Actions past due</x:v>
      </x:c>
      <x:c r="B24" s="88" t="n">
        <x:f>COUNTIFS('CSF Profile Assessment'!$A$5:$A$64,"&lt;&gt;",'CSF Profile Assessment'!$R$5:$R$64,"&gt;0",'CSF Profile Assessment'!$R$5:$R$64,"&lt;"&amp;Methodology!$B$25,'CSF Profile Assessment'!$S$5:$S$64,"&lt;&gt;Closed",'CSF Profile Assessment'!$S$5:$S$64,"&lt;&gt;Accepted")</x:f>
        <x:v>0</x:v>
      </x:c>
      <x:c r="C24" s="88"/>
      <x:c r="D24" s="88"/>
      <x:c r="E24" s="88"/>
      <x:c r="F24" s="88"/>
      <x:c r="G24" s="88"/>
      <x:c r="H24" s="88"/>
      <x:c r="I24" s="79"/>
    </x:row>
    <x:row r="25" ht="27" customHeight="1">
      <x:c r="A25" s="79" t="str">
        <x:v>Acceptance reviews overdue</x:v>
      </x:c>
      <x:c r="B25" s="79" t="n">
        <x:f>COUNTIFS('CSF Profile Assessment'!$S$5:$S$64,"Accepted",'CSF Profile Assessment'!$R$5:$R$64,"&gt;0",'CSF Profile Assessment'!$R$5:$R$64,"&lt;"&amp;Methodology!$B$25)</x:f>
        <x:v>0</x:v>
      </x:c>
      <x:c r="C25" s="79"/>
      <x:c r="D25" s="79"/>
      <x:c r="E25" s="79"/>
      <x:c r="F25" s="79"/>
      <x:c r="G25" s="79"/>
      <x:c r="H25" s="79"/>
      <x:c r="I25" s="79"/>
    </x:row>
    <x:row r="26" ht="27" customHeight="1">
      <x:c r="A26" s="79"/>
      <x:c r="B26" s="79"/>
      <x:c r="C26" s="79"/>
      <x:c r="D26" s="79"/>
      <x:c r="E26" s="79"/>
      <x:c r="F26" s="79"/>
      <x:c r="G26" s="79"/>
      <x:c r="H26" s="79"/>
      <x:c r="I26" s="79"/>
    </x:row>
    <x:row r="27" ht="27" customHeight="1">
      <x:c r="A27" s="79" t="str">
        <x:v>Reporting date</x:v>
      </x:c>
      <x:c r="B27" s="136" t="n">
        <x:f>Methodology!$B$25</x:f>
        <x:v>46298</x:v>
      </x:c>
      <x:c r="C27" s="79"/>
      <x:c r="D27" s="79"/>
      <x:c r="E27" s="79"/>
      <x:c r="F27" s="79"/>
      <x:c r="G27" s="79"/>
      <x:c r="H27" s="79"/>
      <x:c r="I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</x:row>
    <x:row r="29" ht="36" customHeight="1">
      <x:c r="A29" s="88" t="str">
        <x:v>Averages use scored items only. At Target is the share meeting the selected target, not a compliance percentage.</x:v>
      </x:c>
      <x:c r="B29" s="88"/>
      <x:c r="C29" s="88"/>
      <x:c r="D29" s="88"/>
      <x:c r="E29" s="88"/>
      <x:c r="F29" s="88"/>
      <x:c r="G29" s="88"/>
      <x:c r="H29" s="88"/>
      <x:c r="I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</x:row>
  </x:sheetData>
  <x:mergeCells>
    <x:mergeCell ref="A1:H1"/>
    <x:mergeCell ref="A29:H29"/>
  </x:mergeCells>
  <x:conditionalFormatting sqref="F4:F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{F6A65DAE-2832-2011-8564-A210A6D9A86F}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579f27108e847c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6A65DAE-2832-2011-8564-A210A6D9A86F}">
            <x14:dataBar gradient="1">
              <x14:cfvo type="min"/>
              <x14:cfvo type="max"/>
              <x14:fillColor rgb="FFA02B93"/>
            </x14:dataBar>
          </x14:cfRule>
          <xm:sqref>F4:F9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46" hidden="0" customWidth="1"/>
    <x:col min="7" max="7" width="52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53" hidden="0" customWidth="1"/>
    <x:col min="13" max="13" width="22" hidden="0" customWidth="1"/>
    <x:col min="14" max="14" width="47" hidden="0" customWidth="1"/>
    <x:col min="15" max="15" width="18" hidden="0" customWidth="1"/>
    <x:col min="16" max="16" width="45" hidden="0" customWidth="1"/>
    <x:col min="17" max="17" width="25" hidden="0" customWidth="1"/>
    <x:col min="18" max="18" width="29" hidden="0" customWidth="1"/>
    <x:col min="19" max="19" width="29" hidden="0" customWidth="1"/>
    <x:col min="20" max="20" width="65" hidden="0" customWidth="1"/>
    <x:col min="21" max="21" width="28" hidden="0" customWidth="1"/>
  </x:cols>
  <x:sheetData>
    <x:row r="1">
      <x:c r="A1" s="78" t="str">
        <x:v>Gap Action Plan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</x:row>
    <x:row r="2">
      <x:c r="A2" s="121" t="str">
        <x:v>Read-only linked view. Edit the main sheet. Filter Schedule, rating/priority or owner to plan follow-up.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</x:row>
    <x:row r="4" ht="48" customHeight="1">
      <x:c r="A4" s="107" t="str">
        <x:v>Item ID</x:v>
      </x:c>
      <x:c r="B4" s="107" t="str">
        <x:v>Function</x:v>
      </x:c>
      <x:c r="C4" s="107" t="str">
        <x:v>Category</x:v>
      </x:c>
      <x:c r="D4" s="107" t="str">
        <x:v>Priority</x:v>
      </x:c>
      <x:c r="E4" s="107" t="str">
        <x:v>Needs Action</x:v>
      </x:c>
      <x:c r="F4" s="107" t="str">
        <x:v>Finding</x:v>
      </x:c>
      <x:c r="G4" s="107" t="str">
        <x:v>Recommended Action</x:v>
      </x:c>
      <x:c r="H4" s="107" t="str">
        <x:v>Owner</x:v>
      </x:c>
      <x:c r="I4" s="107" t="str">
        <x:v>Target / Review Date</x:v>
      </x:c>
      <x:c r="J4" s="107" t="str">
        <x:v>Action Status</x:v>
      </x:c>
      <x:c r="K4" s="107" t="str">
        <x:v>Days Remaining</x:v>
      </x:c>
      <x:c r="L4" s="107" t="str">
        <x:v>Assessment Rationale</x:v>
      </x:c>
      <x:c r="M4" s="107" t="str">
        <x:v>Evidence Basis</x:v>
      </x:c>
      <x:c r="N4" s="107" t="str">
        <x:v>Evidence Reference or Request</x:v>
      </x:c>
      <x:c r="O4" s="107" t="str">
        <x:v>Assessment Review Date</x:v>
      </x:c>
      <x:c r="P4" s="107" t="str">
        <x:v>Closure or Acceptance Note</x:v>
      </x:c>
      <x:c r="Q4" s="107" t="str">
        <x:v>Input Check</x:v>
      </x:c>
      <x:c r="R4" s="107" t="str">
        <x:v>Follow-up Check</x:v>
      </x:c>
      <x:c r="S4" s="107" t="str">
        <x:v>Related Risk IDs</x:v>
      </x:c>
      <x:c r="T4" s="107" t="str">
        <x:v>Completion / Maintenance Test</x:v>
      </x:c>
      <x:c r="U4" s="107" t="str">
        <x:v>Schedule</x:v>
      </x:c>
    </x:row>
    <x:row r="5" ht="110" customHeight="1">
      <x:c r="A5" s="102" t="str">
        <x:f>IF('CSF Profile Assessment'!A5="","",'CSF Profile Assessment'!A5)</x:f>
        <x:v>GA-001</x:v>
      </x:c>
      <x:c r="B5" s="102" t="str">
        <x:f>IF(A5="","",'CSF Profile Assessment'!B5)</x:f>
        <x:v>Govern</x:v>
      </x:c>
      <x:c r="C5" s="102" t="str">
        <x:f>IF(A5="","",'CSF Profile Assessment'!C5)</x:f>
        <x:v>GV.OC</x:v>
      </x:c>
      <x:c r="D5" s="102" t="str">
        <x:f>IF(A5="","",'CSF Profile Assessment'!M5)</x:f>
        <x:v>Low</x:v>
      </x:c>
      <x:c r="E5" s="102" t="str">
        <x:f>IF(A5="","",IF(ISNUMBER('CSF Profile Assessment'!L5),IF('CSF Profile Assessment'!J5&gt;0,"Yes","No"),"Not assessed"))</x:f>
        <x:v>Yes</x:v>
      </x:c>
      <x:c r="F5" s="102" t="str">
        <x:f>IF(A5="","",'CSF Profile Assessment'!O5)</x:f>
        <x:v>Dependencies and security requirements are not maintained in one consistent source.</x:v>
      </x:c>
      <x:c r="G5" s="102" t="str">
        <x:f>IF(A5="","",'CSF Profile Assessment'!P5)</x:f>
        <x:v>Create a lightweight business/service dependency and cybersecurity-requirements register.</x:v>
      </x:c>
      <x:c r="H5" s="102" t="str">
        <x:f>IF(A5="","",'CSF Profile Assessment'!Q5)</x:f>
        <x:v>Compliance Manager</x:v>
      </x:c>
      <x:c r="I5" s="138" t="n">
        <x:f>IF(A5="","",IF(ISNUMBER('CSF Profile Assessment'!R5),IF('CSF Profile Assessment'!R5&gt;0,'CSF Profile Assessment'!R5,""),""))</x:f>
        <x:v>46362</x:v>
      </x:c>
      <x:c r="J5" s="102" t="str">
        <x:f>IF(A5="","",'CSF Profile Assessment'!S5)</x:f>
        <x:v>Planned</x:v>
      </x:c>
      <x:c r="K5" s="102" t="n">
        <x:f>IF(OR(A5="",E5="No",I5=""),"",I5-Methodology!$B$25)</x:f>
        <x:v>64</x:v>
      </x:c>
      <x:c r="L5" s="102" t="str">
        <x:f>IF(A5="","",IF('CSF Profile Assessment'!T5="","",'CSF Profile Assessment'!T5))</x:f>
        <x:v>Separate service records support Partial (2). A maintained dependency and requirements register is the Mostly (3) target. Impact 2 reflects delayed ownership and recovery decisions.</x:v>
      </x:c>
      <x:c r="M5" s="102" t="str">
        <x:f>IF(A5="","",IF('CSF Profile Assessment'!U5="","",'CSF Profile Assessment'!U5))</x:f>
        <x:v>Scenario only</x:v>
      </x:c>
      <x:c r="N5" s="102" t="str">
        <x:f>IF(A5="","",IF('CSF Profile Assessment'!V5="","",'CSF Profile Assessment'!V5))</x:f>
        <x:v>Service inventory, dependency diagrams, customer security requirements and owner approvals.</x:v>
      </x:c>
      <x:c r="O5" s="139" t="n">
        <x:f>IF(A5="","",IF('CSF Profile Assessment'!W5="","",'CSF Profile Assessment'!W5))</x:f>
        <x:v>46298</x:v>
      </x:c>
      <x:c r="P5" s="102" t="str">
        <x:f>IF(A5="","",IF('CSF Profile Assessment'!X5="","",'CSF Profile Assessment'!X5))</x:f>
      </x:c>
      <x:c r="Q5" s="102" t="str">
        <x:f>IF(A5="","",'CSF Profile Assessment'!Y5)</x:f>
        <x:v>OK</x:v>
      </x:c>
      <x:c r="R5" s="102" t="str">
        <x:f>IF(A5="","",'CSF Profile Assessment'!Z5)</x:f>
        <x:v>Scenario documented</x:v>
      </x:c>
      <x:c r="S5" s="102" t="str">
        <x:f>IF(A5="","",'CSF Profile Assessment'!AA5)</x:f>
        <x:v>R-012, R-017</x:v>
      </x:c>
      <x:c r="T5" s="102" t="str">
        <x:f>IF(A5="","",'CSF Profile Assessment'!AB5)</x:f>
        <x:v>Trace each critical service to its owner, dependencies and security requirements; have business owners review the register.</x:v>
      </x:c>
      <x:c r="U5" s="102" t="str">
        <x:f>IF(A5="","",IF(NOT(ISNUMBER('CSF Profile Assessment'!R5)),"Date needed",IF('CSF Profile Assessment'!R5&lt;=0,"Date needed",IF('CSF Profile Assessment'!S5="Closed","Closed",IF('CSF Profile Assessment'!S5="Accepted",IF('CSF Profile Assessment'!R5&lt;Methodology!$B$25,"Acceptance review due","Accepted - review scheduled"),IF('CSF Profile Assessment'!R5&lt;Methodology!$B$25,"Overdue",IF('CSF Profile Assessment'!R5&lt;=Methodology!$B$25+30,"Due within 30 days","Scheduled")))))))</x:f>
        <x:v>Scheduled</x:v>
      </x:c>
    </x:row>
    <x:row r="6" ht="110" customHeight="1">
      <x:c r="A6" s="102" t="str">
        <x:f>IF('CSF Profile Assessment'!A6="","",'CSF Profile Assessment'!A6)</x:f>
        <x:v>GA-002</x:v>
      </x:c>
      <x:c r="B6" s="102" t="str">
        <x:f>IF(A6="","",'CSF Profile Assessment'!B6)</x:f>
        <x:v>Govern</x:v>
      </x:c>
      <x:c r="C6" s="102" t="str">
        <x:f>IF(A6="","",'CSF Profile Assessment'!C6)</x:f>
        <x:v>GV.RM</x:v>
      </x:c>
      <x:c r="D6" s="102" t="str">
        <x:f>IF(A6="","",'CSF Profile Assessment'!M6)</x:f>
        <x:v>High</x:v>
      </x:c>
      <x:c r="E6" s="102" t="str">
        <x:f>IF(A6="","",IF(ISNUMBER('CSF Profile Assessment'!L6),IF('CSF Profile Assessment'!J6&gt;0,"Yes","No"),"Not assessed"))</x:f>
        <x:v>Yes</x:v>
      </x:c>
      <x:c r="F6" s="102" t="str">
        <x:f>IF(A6="","",'CSF Profile Assessment'!O6)</x:f>
        <x:v>Risk decisions can vary because escalation and acceptance criteria are not defined.</x:v>
      </x:c>
      <x:c r="G6" s="102" t="str">
        <x:f>IF(A6="","",'CSF Profile Assessment'!P6)</x:f>
        <x:v>Approve the risk-scoring method, risk appetite/tolerance, and quarterly risk-review process.</x:v>
      </x:c>
      <x:c r="H6" s="102" t="str">
        <x:f>IF(A6="","",'CSF Profile Assessment'!Q6)</x:f>
        <x:v>CISO</x:v>
      </x:c>
      <x:c r="I6" s="138" t="n">
        <x:f>IF(A6="","",IF(ISNUMBER('CSF Profile Assessment'!R6),IF('CSF Profile Assessment'!R6&gt;0,'CSF Profile Assessment'!R6,""),""))</x:f>
        <x:v>46332</x:v>
      </x:c>
      <x:c r="J6" s="102" t="str">
        <x:f>IF(A6="","",'CSF Profile Assessment'!S6)</x:f>
        <x:v>In Progress</x:v>
      </x:c>
      <x:c r="K6" s="102" t="n">
        <x:f>IF(OR(A6="",E6="No",I6=""),"",I6-Methodology!$B$25)</x:f>
        <x:v>34</x:v>
      </x:c>
      <x:c r="L6" s="102" t="str">
        <x:f>IF(A6="","",IF('CSF Profile Assessment'!T6="","",'CSF Profile Assessment'!T6))</x:f>
        <x:v>Informal risk discussions support Ad hoc (1). An approved scoring, escalation and acceptance method is the Mostly (3) target. Impact 3 reflects inconsistent decisions on material risk.</x:v>
      </x:c>
      <x:c r="M6" s="102" t="str">
        <x:f>IF(A6="","",IF('CSF Profile Assessment'!U6="","",'CSF Profile Assessment'!U6))</x:f>
        <x:v>Scenario only</x:v>
      </x:c>
      <x:c r="N6" s="102" t="str">
        <x:f>IF(A6="","",IF('CSF Profile Assessment'!V6="","",'CSF Profile Assessment'!V6))</x:f>
        <x:v>Risk methodology, appetite/tolerance statement, escalation thresholds and approval record.</x:v>
      </x:c>
      <x:c r="O6" s="139" t="n">
        <x:f>IF(A6="","",IF('CSF Profile Assessment'!W6="","",'CSF Profile Assessment'!W6))</x:f>
        <x:v>46298</x:v>
      </x:c>
      <x:c r="P6" s="102" t="str">
        <x:f>IF(A6="","",IF('CSF Profile Assessment'!X6="","",'CSF Profile Assessment'!X6))</x:f>
      </x:c>
      <x:c r="Q6" s="102" t="str">
        <x:f>IF(A6="","",'CSF Profile Assessment'!Y6)</x:f>
        <x:v>OK</x:v>
      </x:c>
      <x:c r="R6" s="102" t="str">
        <x:f>IF(A6="","",'CSF Profile Assessment'!Z6)</x:f>
        <x:v>Scenario documented</x:v>
      </x:c>
      <x:c r="S6" s="102" t="str">
        <x:f>IF(A6="","",'CSF Profile Assessment'!AA6)</x:f>
        <x:v>R-022, R-030</x:v>
      </x:c>
      <x:c r="T6" s="102" t="str">
        <x:f>IF(A6="","",'CSF Profile Assessment'!AB6)</x:f>
        <x:v>Apply the approved method to sample risks and verify escalation and acceptance authority are consistent.</x:v>
      </x:c>
      <x:c r="U6" s="102" t="str">
        <x:f>IF(A6="","",IF(NOT(ISNUMBER('CSF Profile Assessment'!R6)),"Date needed",IF('CSF Profile Assessment'!R6&lt;=0,"Date needed",IF('CSF Profile Assessment'!S6="Closed","Closed",IF('CSF Profile Assessment'!S6="Accepted",IF('CSF Profile Assessment'!R6&lt;Methodology!$B$25,"Acceptance review due","Accepted - review scheduled"),IF('CSF Profile Assessment'!R6&lt;Methodology!$B$25,"Overdue",IF('CSF Profile Assessment'!R6&lt;=Methodology!$B$25+30,"Due within 30 days","Scheduled")))))))</x:f>
        <x:v>Scheduled</x:v>
      </x:c>
    </x:row>
    <x:row r="7" ht="110" customHeight="1">
      <x:c r="A7" s="102" t="str">
        <x:f>IF('CSF Profile Assessment'!A7="","",'CSF Profile Assessment'!A7)</x:f>
        <x:v>GA-003</x:v>
      </x:c>
      <x:c r="B7" s="102" t="str">
        <x:f>IF(A7="","",'CSF Profile Assessment'!B7)</x:f>
        <x:v>Govern</x:v>
      </x:c>
      <x:c r="C7" s="102" t="str">
        <x:f>IF(A7="","",'CSF Profile Assessment'!C7)</x:f>
        <x:v>GV.RR</x:v>
      </x:c>
      <x:c r="D7" s="102" t="str">
        <x:f>IF(A7="","",'CSF Profile Assessment'!M7)</x:f>
        <x:v>Low</x:v>
      </x:c>
      <x:c r="E7" s="102" t="str">
        <x:f>IF(A7="","",IF(ISNUMBER('CSF Profile Assessment'!L7),IF('CSF Profile Assessment'!J7&gt;0,"Yes","No"),"Not assessed"))</x:f>
        <x:v>Yes</x:v>
      </x:c>
      <x:c r="F7" s="102" t="str">
        <x:f>IF(A7="","",'CSF Profile Assessment'!O7)</x:f>
        <x:v>Some controls and risks may lack clear accountability.</x:v>
      </x:c>
      <x:c r="G7" s="102" t="str">
        <x:f>IF(A7="","",'CSF Profile Assessment'!P7)</x:f>
        <x:v>Create a simple RACI covering risk owners, control owners, incident roles, and exception approvals.</x:v>
      </x:c>
      <x:c r="H7" s="102" t="str">
        <x:f>IF(A7="","",'CSF Profile Assessment'!Q7)</x:f>
        <x:v>CISO</x:v>
      </x:c>
      <x:c r="I7" s="138" t="n">
        <x:f>IF(A7="","",IF(ISNUMBER('CSF Profile Assessment'!R7),IF('CSF Profile Assessment'!R7&gt;0,'CSF Profile Assessment'!R7,""),""))</x:f>
        <x:v>46347</x:v>
      </x:c>
      <x:c r="J7" s="102" t="str">
        <x:f>IF(A7="","",'CSF Profile Assessment'!S7)</x:f>
        <x:v>Planned</x:v>
      </x:c>
      <x:c r="K7" s="102" t="n">
        <x:f>IF(OR(A7="",E7="No",I7=""),"",I7-Methodology!$B$25)</x:f>
        <x:v>49</x:v>
      </x:c>
      <x:c r="L7" s="102" t="str">
        <x:f>IF(A7="","",IF('CSF Profile Assessment'!T7="","",'CSF Profile Assessment'!T7))</x:f>
        <x:v>People perform security tasks but ownership is not consistently recorded, supporting Partial (2). A documented responsibility matrix is the Mostly (3) target. Impact 2 reflects handoff failures.</x:v>
      </x:c>
      <x:c r="M7" s="102" t="str">
        <x:f>IF(A7="","",IF('CSF Profile Assessment'!U7="","",'CSF Profile Assessment'!U7))</x:f>
        <x:v>Scenario only</x:v>
      </x:c>
      <x:c r="N7" s="102" t="str">
        <x:f>IF(A7="","",IF('CSF Profile Assessment'!V7="","",'CSF Profile Assessment'!V7))</x:f>
        <x:v>Role descriptions, RACI matrix, control-owner list and escalation responsibilities.</x:v>
      </x:c>
      <x:c r="O7" s="139" t="n">
        <x:f>IF(A7="","",IF('CSF Profile Assessment'!W7="","",'CSF Profile Assessment'!W7))</x:f>
        <x:v>46298</x:v>
      </x:c>
      <x:c r="P7" s="102" t="str">
        <x:f>IF(A7="","",IF('CSF Profile Assessment'!X7="","",'CSF Profile Assessment'!X7))</x:f>
      </x:c>
      <x:c r="Q7" s="102" t="str">
        <x:f>IF(A7="","",'CSF Profile Assessment'!Y7)</x:f>
        <x:v>OK</x:v>
      </x:c>
      <x:c r="R7" s="102" t="str">
        <x:f>IF(A7="","",'CSF Profile Assessment'!Z7)</x:f>
        <x:v>Scenario documented</x:v>
      </x:c>
      <x:c r="S7" s="102" t="str">
        <x:f>IF(A7="","",'CSF Profile Assessment'!AA7)</x:f>
        <x:v>R-021</x:v>
      </x:c>
      <x:c r="T7" s="102" t="str">
        <x:f>IF(A7="","",'CSF Profile Assessment'!AB7)</x:f>
        <x:v>Confirm every priority risk/control has an accountable owner and incident decisions have a designated authority.</x:v>
      </x:c>
      <x:c r="U7" s="102" t="str">
        <x:f>IF(A7="","",IF(NOT(ISNUMBER('CSF Profile Assessment'!R7)),"Date needed",IF('CSF Profile Assessment'!R7&lt;=0,"Date needed",IF('CSF Profile Assessment'!S7="Closed","Closed",IF('CSF Profile Assessment'!S7="Accepted",IF('CSF Profile Assessment'!R7&lt;Methodology!$B$25,"Acceptance review due","Accepted - review scheduled"),IF('CSF Profile Assessment'!R7&lt;Methodology!$B$25,"Overdue",IF('CSF Profile Assessment'!R7&lt;=Methodology!$B$25+30,"Due within 30 days","Scheduled")))))))</x:f>
        <x:v>Scheduled</x:v>
      </x:c>
    </x:row>
    <x:row r="8" ht="110" customHeight="1">
      <x:c r="A8" s="102" t="str">
        <x:f>IF('CSF Profile Assessment'!A8="","",'CSF Profile Assessment'!A8)</x:f>
        <x:v>GA-004</x:v>
      </x:c>
      <x:c r="B8" s="102" t="str">
        <x:f>IF(A8="","",'CSF Profile Assessment'!B8)</x:f>
        <x:v>Govern</x:v>
      </x:c>
      <x:c r="C8" s="102" t="str">
        <x:f>IF(A8="","",'CSF Profile Assessment'!C8)</x:f>
        <x:v>GV.PO</x:v>
      </x:c>
      <x:c r="D8" s="102" t="str">
        <x:f>IF(A8="","",'CSF Profile Assessment'!M8)</x:f>
        <x:v>Medium</x:v>
      </x:c>
      <x:c r="E8" s="102" t="str">
        <x:f>IF(A8="","",IF(ISNUMBER('CSF Profile Assessment'!L8),IF('CSF Profile Assessment'!J8&gt;0,"Yes","No"),"Not assessed"))</x:f>
        <x:v>Yes</x:v>
      </x:c>
      <x:c r="F8" s="102" t="str">
        <x:f>IF(A8="","",'CSF Profile Assessment'!O8)</x:f>
        <x:v>Security expectations may be implemented differently across teams.</x:v>
      </x:c>
      <x:c r="G8" s="102" t="str">
        <x:f>IF(A8="","",'CSF Profile Assessment'!P8)</x:f>
        <x:v>Establish a policy lifecycle and complete priority policies for access control, incident response, backup, vendor risk, and exceptions.</x:v>
      </x:c>
      <x:c r="H8" s="102" t="str">
        <x:f>IF(A8="","",'CSF Profile Assessment'!Q8)</x:f>
        <x:v>Compliance Manager</x:v>
      </x:c>
      <x:c r="I8" s="138" t="n">
        <x:f>IF(A8="","",IF(ISNUMBER('CSF Profile Assessment'!R8),IF('CSF Profile Assessment'!R8&gt;0,'CSF Profile Assessment'!R8,""),""))</x:f>
        <x:v>46362</x:v>
      </x:c>
      <x:c r="J8" s="102" t="str">
        <x:f>IF(A8="","",'CSF Profile Assessment'!S8)</x:f>
        <x:v>In Progress</x:v>
      </x:c>
      <x:c r="K8" s="102" t="n">
        <x:f>IF(OR(A8="",E8="No",I8=""),"",I8-Methodology!$B$25)</x:f>
        <x:v>64</x:v>
      </x:c>
      <x:c r="L8" s="102" t="str">
        <x:f>IF(A8="","",IF('CSF Profile Assessment'!T8="","",'CSF Profile Assessment'!T8))</x:f>
        <x:v>Policy ownership, reviews and exceptions are inconsistent, supporting Ad hoc (1). A repeatable policy lifecycle targets Mostly (3). Impact 2 reflects inconsistent security practices across teams.</x:v>
      </x:c>
      <x:c r="M8" s="102" t="str">
        <x:f>IF(A8="","",IF('CSF Profile Assessment'!U8="","",'CSF Profile Assessment'!U8))</x:f>
        <x:v>Scenario only</x:v>
      </x:c>
      <x:c r="N8" s="102" t="str">
        <x:f>IF(A8="","",IF('CSF Profile Assessment'!V8="","",'CSF Profile Assessment'!V8))</x:f>
        <x:v>Policy inventory, approvals, revision dates, review schedule and exception log.</x:v>
      </x:c>
      <x:c r="O8" s="139" t="n">
        <x:f>IF(A8="","",IF('CSF Profile Assessment'!W8="","",'CSF Profile Assessment'!W8))</x:f>
        <x:v>46298</x:v>
      </x:c>
      <x:c r="P8" s="102" t="str">
        <x:f>IF(A8="","",IF('CSF Profile Assessment'!X8="","",'CSF Profile Assessment'!X8))</x:f>
      </x:c>
      <x:c r="Q8" s="102" t="str">
        <x:f>IF(A8="","",'CSF Profile Assessment'!Y8)</x:f>
        <x:v>OK</x:v>
      </x:c>
      <x:c r="R8" s="102" t="str">
        <x:f>IF(A8="","",'CSF Profile Assessment'!Z8)</x:f>
        <x:v>Scenario documented</x:v>
      </x:c>
      <x:c r="S8" s="102" t="str">
        <x:f>IF(A8="","",'CSF Profile Assessment'!AA8)</x:f>
        <x:v>R-021, R-030</x:v>
      </x:c>
      <x:c r="T8" s="102" t="str">
        <x:f>IF(A8="","",'CSF Profile Assessment'!AB8)</x:f>
        <x:v>Sample priority policies for owner, approval and review date; trace an exception through the approved lifecycle.</x:v>
      </x:c>
      <x:c r="U8" s="102" t="str">
        <x:f>IF(A8="","",IF(NOT(ISNUMBER('CSF Profile Assessment'!R8)),"Date needed",IF('CSF Profile Assessment'!R8&lt;=0,"Date needed",IF('CSF Profile Assessment'!S8="Closed","Closed",IF('CSF Profile Assessment'!S8="Accepted",IF('CSF Profile Assessment'!R8&lt;Methodology!$B$25,"Acceptance review due","Accepted - review scheduled"),IF('CSF Profile Assessment'!R8&lt;Methodology!$B$25,"Overdue",IF('CSF Profile Assessment'!R8&lt;=Methodology!$B$25+30,"Due within 30 days","Scheduled")))))))</x:f>
        <x:v>Scheduled</x:v>
      </x:c>
    </x:row>
    <x:row r="9" ht="110" customHeight="1">
      <x:c r="A9" s="102" t="str">
        <x:f>IF('CSF Profile Assessment'!A9="","",'CSF Profile Assessment'!A9)</x:f>
        <x:v>GA-005</x:v>
      </x:c>
      <x:c r="B9" s="102" t="str">
        <x:f>IF(A9="","",'CSF Profile Assessment'!B9)</x:f>
        <x:v>Govern</x:v>
      </x:c>
      <x:c r="C9" s="102" t="str">
        <x:f>IF(A9="","",'CSF Profile Assessment'!C9)</x:f>
        <x:v>GV.OV</x:v>
      </x:c>
      <x:c r="D9" s="102" t="str">
        <x:f>IF(A9="","",'CSF Profile Assessment'!M9)</x:f>
        <x:v>Medium</x:v>
      </x:c>
      <x:c r="E9" s="102" t="str">
        <x:f>IF(A9="","",IF(ISNUMBER('CSF Profile Assessment'!L9),IF('CSF Profile Assessment'!J9&gt;0,"Yes","No"),"Not assessed"))</x:f>
        <x:v>Yes</x:v>
      </x:c>
      <x:c r="F9" s="102" t="str">
        <x:f>IF(A9="","",'CSF Profile Assessment'!O9)</x:f>
        <x:v>Management may not consistently see overdue remediation or accepted risk.</x:v>
      </x:c>
      <x:c r="G9" s="102" t="str">
        <x:f>IF(A9="","",'CSF Profile Assessment'!P9)</x:f>
        <x:v>Use a quarterly risk summary showing high risks, overdue actions, exceptions, and management decisions.</x:v>
      </x:c>
      <x:c r="H9" s="102" t="str">
        <x:f>IF(A9="","",'CSF Profile Assessment'!Q9)</x:f>
        <x:v>CISO</x:v>
      </x:c>
      <x:c r="I9" s="138" t="n">
        <x:f>IF(A9="","",IF(ISNUMBER('CSF Profile Assessment'!R9),IF('CSF Profile Assessment'!R9&gt;0,'CSF Profile Assessment'!R9,""),""))</x:f>
        <x:v>46362</x:v>
      </x:c>
      <x:c r="J9" s="102" t="str">
        <x:f>IF(A9="","",'CSF Profile Assessment'!S9)</x:f>
        <x:v>Planned</x:v>
      </x:c>
      <x:c r="K9" s="102" t="n">
        <x:f>IF(OR(A9="",E9="No",I9=""),"",I9-Methodology!$B$25)</x:f>
        <x:v>64</x:v>
      </x:c>
      <x:c r="L9" s="102" t="str">
        <x:f>IF(A9="","",IF('CSF Profile Assessment'!T9="","",'CSF Profile Assessment'!T9))</x:f>
        <x:v>Operational reviews exist, supporting Partial (2). Consistent management reporting targets Mostly (3). Impact 3 reflects decisions about high exposure and overdue remediation.</x:v>
      </x:c>
      <x:c r="M9" s="102" t="str">
        <x:f>IF(A9="","",IF('CSF Profile Assessment'!U9="","",'CSF Profile Assessment'!U9))</x:f>
        <x:v>Scenario only</x:v>
      </x:c>
      <x:c r="N9" s="102" t="str">
        <x:f>IF(A9="","",IF('CSF Profile Assessment'!V9="","",'CSF Profile Assessment'!V9))</x:f>
        <x:v>Leadership risk reports, meeting notes, overdue-action reports and recorded decisions.</x:v>
      </x:c>
      <x:c r="O9" s="139" t="n">
        <x:f>IF(A9="","",IF('CSF Profile Assessment'!W9="","",'CSF Profile Assessment'!W9))</x:f>
        <x:v>46298</x:v>
      </x:c>
      <x:c r="P9" s="102" t="str">
        <x:f>IF(A9="","",IF('CSF Profile Assessment'!X9="","",'CSF Profile Assessment'!X9))</x:f>
      </x:c>
      <x:c r="Q9" s="102" t="str">
        <x:f>IF(A9="","",'CSF Profile Assessment'!Y9)</x:f>
        <x:v>OK</x:v>
      </x:c>
      <x:c r="R9" s="102" t="str">
        <x:f>IF(A9="","",'CSF Profile Assessment'!Z9)</x:f>
        <x:v>Scenario documented</x:v>
      </x:c>
      <x:c r="S9" s="102" t="str">
        <x:f>IF(A9="","",'CSF Profile Assessment'!AA9)</x:f>
        <x:v>R-022, R-030</x:v>
      </x:c>
      <x:c r="T9" s="102" t="str">
        <x:f>IF(A9="","",'CSF Profile Assessment'!AB9)</x:f>
        <x:v>Present current high risks and overdue actions to the accountable forum; record decisions and follow-up owners.</x:v>
      </x:c>
      <x:c r="U9" s="102" t="str">
        <x:f>IF(A9="","",IF(NOT(ISNUMBER('CSF Profile Assessment'!R9)),"Date needed",IF('CSF Profile Assessment'!R9&lt;=0,"Date needed",IF('CSF Profile Assessment'!S9="Closed","Closed",IF('CSF Profile Assessment'!S9="Accepted",IF('CSF Profile Assessment'!R9&lt;Methodology!$B$25,"Acceptance review due","Accepted - review scheduled"),IF('CSF Profile Assessment'!R9&lt;Methodology!$B$25,"Overdue",IF('CSF Profile Assessment'!R9&lt;=Methodology!$B$25+30,"Due within 30 days","Scheduled")))))))</x:f>
        <x:v>Scheduled</x:v>
      </x:c>
    </x:row>
    <x:row r="10" ht="110" customHeight="1">
      <x:c r="A10" s="102" t="str">
        <x:f>IF('CSF Profile Assessment'!A10="","",'CSF Profile Assessment'!A10)</x:f>
        <x:v>GA-006</x:v>
      </x:c>
      <x:c r="B10" s="102" t="str">
        <x:f>IF(A10="","",'CSF Profile Assessment'!B10)</x:f>
        <x:v>Govern</x:v>
      </x:c>
      <x:c r="C10" s="102" t="str">
        <x:f>IF(A10="","",'CSF Profile Assessment'!C10)</x:f>
        <x:v>GV.SC</x:v>
      </x:c>
      <x:c r="D10" s="102" t="str">
        <x:f>IF(A10="","",'CSF Profile Assessment'!M10)</x:f>
        <x:v>High</x:v>
      </x:c>
      <x:c r="E10" s="102" t="str">
        <x:f>IF(A10="","",IF(ISNUMBER('CSF Profile Assessment'!L10),IF('CSF Profile Assessment'!J10&gt;0,"Yes","No"),"Not assessed"))</x:f>
        <x:v>Yes</x:v>
      </x:c>
      <x:c r="F10" s="102" t="str">
        <x:f>IF(A10="","",'CSF Profile Assessment'!O10)</x:f>
        <x:v>High-risk suppliers may receive the same review as low-risk suppliers.</x:v>
      </x:c>
      <x:c r="G10" s="102" t="str">
        <x:f>IF(A10="","",'CSF Profile Assessment'!P10)</x:f>
        <x:v>Create vendor tiers and require security review, contract requirements, and periodic reassessment for higher-risk providers.</x:v>
      </x:c>
      <x:c r="H10" s="102" t="str">
        <x:f>IF(A10="","",'CSF Profile Assessment'!Q10)</x:f>
        <x:v>Vendor Manager</x:v>
      </x:c>
      <x:c r="I10" s="138" t="n">
        <x:f>IF(A10="","",IF(ISNUMBER('CSF Profile Assessment'!R10),IF('CSF Profile Assessment'!R10&gt;0,'CSF Profile Assessment'!R10,""),""))</x:f>
        <x:v>46332</x:v>
      </x:c>
      <x:c r="J10" s="102" t="str">
        <x:f>IF(A10="","",'CSF Profile Assessment'!S10)</x:f>
        <x:v>In Progress</x:v>
      </x:c>
      <x:c r="K10" s="102" t="n">
        <x:f>IF(OR(A10="",E10="No",I10=""),"",I10-Methodology!$B$25)</x:f>
        <x:v>34</x:v>
      </x:c>
      <x:c r="L10" s="102" t="str">
        <x:f>IF(A10="","",IF('CSF Profile Assessment'!T10="","",'CSF Profile Assessment'!T10))</x:f>
        <x:v>Procurement records exist, but risk-based cyber review is inconsistent: Ad hoc (1). Tiered due diligence and reassessment target Mostly (3). Impact 3 reflects dependence on critical suppliers.</x:v>
      </x:c>
      <x:c r="M10" s="102" t="str">
        <x:f>IF(A10="","",IF('CSF Profile Assessment'!U10="","",'CSF Profile Assessment'!U10))</x:f>
        <x:v>Scenario only</x:v>
      </x:c>
      <x:c r="N10" s="102" t="str">
        <x:f>IF(A10="","",IF('CSF Profile Assessment'!V10="","",'CSF Profile Assessment'!V10))</x:f>
        <x:v>Vendor inventory, tiering criteria, security reviews, contracts and reassessment calendar.</x:v>
      </x:c>
      <x:c r="O10" s="139" t="n">
        <x:f>IF(A10="","",IF('CSF Profile Assessment'!W10="","",'CSF Profile Assessment'!W10))</x:f>
        <x:v>46298</x:v>
      </x:c>
      <x:c r="P10" s="102" t="str">
        <x:f>IF(A10="","",IF('CSF Profile Assessment'!X10="","",'CSF Profile Assessment'!X10))</x:f>
      </x:c>
      <x:c r="Q10" s="102" t="str">
        <x:f>IF(A10="","",'CSF Profile Assessment'!Y10)</x:f>
        <x:v>OK</x:v>
      </x:c>
      <x:c r="R10" s="102" t="str">
        <x:f>IF(A10="","",'CSF Profile Assessment'!Z10)</x:f>
        <x:v>Scenario documented</x:v>
      </x:c>
      <x:c r="S10" s="102" t="str">
        <x:f>IF(A10="","",'CSF Profile Assessment'!AA10)</x:f>
        <x:v>R-012, R-013, R-028</x:v>
      </x:c>
      <x:c r="T10" s="102" t="str">
        <x:f>IF(A10="","",'CSF Profile Assessment'!AB10)</x:f>
        <x:v>Sample critical vendors for tier, completed security review, tracked findings, notification obligations and next review date.</x:v>
      </x:c>
      <x:c r="U10" s="102" t="str">
        <x:f>IF(A10="","",IF(NOT(ISNUMBER('CSF Profile Assessment'!R10)),"Date needed",IF('CSF Profile Assessment'!R10&lt;=0,"Date needed",IF('CSF Profile Assessment'!S10="Closed","Closed",IF('CSF Profile Assessment'!S10="Accepted",IF('CSF Profile Assessment'!R10&lt;Methodology!$B$25,"Acceptance review due","Accepted - review scheduled"),IF('CSF Profile Assessment'!R10&lt;Methodology!$B$25,"Overdue",IF('CSF Profile Assessment'!R10&lt;=Methodology!$B$25+30,"Due within 30 days","Scheduled")))))))</x:f>
        <x:v>Scheduled</x:v>
      </x:c>
    </x:row>
    <x:row r="11" ht="110" customHeight="1">
      <x:c r="A11" s="102" t="str">
        <x:f>IF('CSF Profile Assessment'!A11="","",'CSF Profile Assessment'!A11)</x:f>
        <x:v>GA-007</x:v>
      </x:c>
      <x:c r="B11" s="102" t="str">
        <x:f>IF(A11="","",'CSF Profile Assessment'!B11)</x:f>
        <x:v>Identify</x:v>
      </x:c>
      <x:c r="C11" s="102" t="str">
        <x:f>IF(A11="","",'CSF Profile Assessment'!C11)</x:f>
        <x:v>ID.AM</x:v>
      </x:c>
      <x:c r="D11" s="102" t="str">
        <x:f>IF(A11="","",'CSF Profile Assessment'!M11)</x:f>
        <x:v>Low</x:v>
      </x:c>
      <x:c r="E11" s="102" t="str">
        <x:f>IF(A11="","",IF(ISNUMBER('CSF Profile Assessment'!L11),IF('CSF Profile Assessment'!J11&gt;0,"Yes","No"),"Not assessed"))</x:f>
        <x:v>Yes</x:v>
      </x:c>
      <x:c r="F11" s="102" t="str">
        <x:f>IF(A11="","",'CSF Profile Assessment'!O11)</x:f>
        <x:v>Unknown devices still require manual reconciliation.</x:v>
      </x:c>
      <x:c r="G11" s="102" t="str">
        <x:f>IF(A11="","",'CSF Profile Assessment'!P11)</x:f>
        <x:v>Automate a recurring reconciliation process for inventory exceptions.</x:v>
      </x:c>
      <x:c r="H11" s="102" t="str">
        <x:f>IF(A11="","",'CSF Profile Assessment'!Q11)</x:f>
        <x:v>IT Manager</x:v>
      </x:c>
      <x:c r="I11" s="138" t="n">
        <x:f>IF(A11="","",IF(ISNUMBER('CSF Profile Assessment'!R11),IF('CSF Profile Assessment'!R11&gt;0,'CSF Profile Assessment'!R11,""),""))</x:f>
        <x:v>46392</x:v>
      </x:c>
      <x:c r="J11" s="102" t="str">
        <x:f>IF(A11="","",'CSF Profile Assessment'!S11)</x:f>
        <x:v>Planned</x:v>
      </x:c>
      <x:c r="K11" s="102" t="n">
        <x:f>IF(OR(A11="",E11="No",I11=""),"",I11-Methodology!$B$25)</x:f>
        <x:v>94</x:v>
      </x:c>
      <x:c r="L11" s="102" t="str">
        <x:f>IF(A11="","",IF('CSF Profile Assessment'!T11="","",'CSF Profile Assessment'!T11))</x:f>
        <x:v>Most managed devices are inventoried, supporting Mostly (3). Reconciled discovery with investigated exceptions targets In place (4). Impact 2 reflects unmanaged-device exposure and operational blind spots.</x:v>
      </x:c>
      <x:c r="M11" s="102" t="str">
        <x:f>IF(A11="","",IF('CSF Profile Assessment'!U11="","",'CSF Profile Assessment'!U11))</x:f>
        <x:v>Scenario only</x:v>
      </x:c>
      <x:c r="N11" s="102" t="str">
        <x:f>IF(A11="","",IF('CSF Profile Assessment'!V11="","",'CSF Profile Assessment'!V11))</x:f>
        <x:v>Endpoint inventory, network discovery, device owners and exception tickets.</x:v>
      </x:c>
      <x:c r="O11" s="139" t="n">
        <x:f>IF(A11="","",IF('CSF Profile Assessment'!W11="","",'CSF Profile Assessment'!W11))</x:f>
        <x:v>46298</x:v>
      </x:c>
      <x:c r="P11" s="102" t="str">
        <x:f>IF(A11="","",IF('CSF Profile Assessment'!X11="","",'CSF Profile Assessment'!X11))</x:f>
      </x:c>
      <x:c r="Q11" s="102" t="str">
        <x:f>IF(A11="","",'CSF Profile Assessment'!Y11)</x:f>
        <x:v>OK</x:v>
      </x:c>
      <x:c r="R11" s="102" t="str">
        <x:f>IF(A11="","",'CSF Profile Assessment'!Z11)</x:f>
        <x:v>Scenario documented</x:v>
      </x:c>
      <x:c r="S11" s="102" t="str">
        <x:f>IF(A11="","",'CSF Profile Assessment'!AA11)</x:f>
        <x:v>R-020</x:v>
      </x:c>
      <x:c r="T11" s="102" t="str">
        <x:f>IF(A11="","",'CSF Profile Assessment'!AB11)</x:f>
        <x:v>Reconcile discovery against managed inventory; investigate unmatched devices and retain the reconciliation record.</x:v>
      </x:c>
      <x:c r="U11" s="102" t="str">
        <x:f>IF(A11="","",IF(NOT(ISNUMBER('CSF Profile Assessment'!R11)),"Date needed",IF('CSF Profile Assessment'!R11&lt;=0,"Date needed",IF('CSF Profile Assessment'!S11="Closed","Closed",IF('CSF Profile Assessment'!S11="Accepted",IF('CSF Profile Assessment'!R11&lt;Methodology!$B$25,"Acceptance review due","Accepted - review scheduled"),IF('CSF Profile Assessment'!R11&lt;Methodology!$B$25,"Overdue",IF('CSF Profile Assessment'!R11&lt;=Methodology!$B$25+30,"Due within 30 days","Scheduled")))))))</x:f>
        <x:v>Scheduled</x:v>
      </x:c>
    </x:row>
    <x:row r="12" ht="110" customHeight="1">
      <x:c r="A12" s="102" t="str">
        <x:f>IF('CSF Profile Assessment'!A12="","",'CSF Profile Assessment'!A12)</x:f>
        <x:v>GA-008</x:v>
      </x:c>
      <x:c r="B12" s="102" t="str">
        <x:f>IF(A12="","",'CSF Profile Assessment'!B12)</x:f>
        <x:v>Identify</x:v>
      </x:c>
      <x:c r="C12" s="102" t="str">
        <x:f>IF(A12="","",'CSF Profile Assessment'!C12)</x:f>
        <x:v>ID.AM</x:v>
      </x:c>
      <x:c r="D12" s="102" t="str">
        <x:f>IF(A12="","",'CSF Profile Assessment'!M12)</x:f>
        <x:v>Low</x:v>
      </x:c>
      <x:c r="E12" s="102" t="str">
        <x:f>IF(A12="","",IF(ISNUMBER('CSF Profile Assessment'!L12),IF('CSF Profile Assessment'!J12&gt;0,"Yes","No"),"Not assessed"))</x:f>
        <x:v>Yes</x:v>
      </x:c>
      <x:c r="F12" s="102" t="str">
        <x:f>IF(A12="","",'CSF Profile Assessment'!O12)</x:f>
        <x:v>Shadow SaaS and unsupported software may not be visible to security processes.</x:v>
      </x:c>
      <x:c r="G12" s="102" t="str">
        <x:f>IF(A12="","",'CSF Profile Assessment'!P12)</x:f>
        <x:v>Create a combined software/SaaS inventory with owner, approval status, and EOL fields.</x:v>
      </x:c>
      <x:c r="H12" s="102" t="str">
        <x:f>IF(A12="","",'CSF Profile Assessment'!Q12)</x:f>
        <x:v>IT Manager</x:v>
      </x:c>
      <x:c r="I12" s="138" t="n">
        <x:f>IF(A12="","",IF(ISNUMBER('CSF Profile Assessment'!R12),IF('CSF Profile Assessment'!R12&gt;0,'CSF Profile Assessment'!R12,""),""))</x:f>
        <x:v>46362</x:v>
      </x:c>
      <x:c r="J12" s="102" t="str">
        <x:f>IF(A12="","",'CSF Profile Assessment'!S12)</x:f>
        <x:v>Planned</x:v>
      </x:c>
      <x:c r="K12" s="102" t="n">
        <x:f>IF(OR(A12="",E12="No",I12=""),"",I12-Methodology!$B$25)</x:f>
        <x:v>64</x:v>
      </x:c>
      <x:c r="L12" s="102" t="str">
        <x:f>IF(A12="","",IF('CSF Profile Assessment'!T12="","",'CSF Profile Assessment'!T12))</x:f>
        <x:v>Endpoint software data exists but SaaS and lifecycle coverage are incomplete: Partial (2). A maintained combined inventory targets Mostly (3). Impact 2 reflects unapproved services and unsupported software.</x:v>
      </x:c>
      <x:c r="M12" s="102" t="str">
        <x:f>IF(A12="","",IF('CSF Profile Assessment'!U12="","",'CSF Profile Assessment'!U12))</x:f>
        <x:v>Scenario only</x:v>
      </x:c>
      <x:c r="N12" s="102" t="str">
        <x:f>IF(A12="","",IF('CSF Profile Assessment'!V12="","",'CSF Profile Assessment'!V12))</x:f>
        <x:v>Software/SaaS inventories, procurement and SSO records, owners and support dates.</x:v>
      </x:c>
      <x:c r="O12" s="139" t="n">
        <x:f>IF(A12="","",IF('CSF Profile Assessment'!W12="","",'CSF Profile Assessment'!W12))</x:f>
        <x:v>46298</x:v>
      </x:c>
      <x:c r="P12" s="102" t="str">
        <x:f>IF(A12="","",IF('CSF Profile Assessment'!X12="","",'CSF Profile Assessment'!X12))</x:f>
      </x:c>
      <x:c r="Q12" s="102" t="str">
        <x:f>IF(A12="","",'CSF Profile Assessment'!Y12)</x:f>
        <x:v>OK</x:v>
      </x:c>
      <x:c r="R12" s="102" t="str">
        <x:f>IF(A12="","",'CSF Profile Assessment'!Z12)</x:f>
        <x:v>Scenario documented</x:v>
      </x:c>
      <x:c r="S12" s="102" t="str">
        <x:f>IF(A12="","",'CSF Profile Assessment'!AA12)</x:f>
        <x:v>R-013, R-025</x:v>
      </x:c>
      <x:c r="T12" s="102" t="str">
        <x:f>IF(A12="","",'CSF Profile Assessment'!AB12)</x:f>
        <x:v>Reconcile inventories and assign owners; identify unsupported versions and unapproved SaaS with remediation or exceptions.</x:v>
      </x:c>
      <x:c r="U12" s="102" t="str">
        <x:f>IF(A12="","",IF(NOT(ISNUMBER('CSF Profile Assessment'!R12)),"Date needed",IF('CSF Profile Assessment'!R12&lt;=0,"Date needed",IF('CSF Profile Assessment'!S12="Closed","Closed",IF('CSF Profile Assessment'!S12="Accepted",IF('CSF Profile Assessment'!R12&lt;Methodology!$B$25,"Acceptance review due","Accepted - review scheduled"),IF('CSF Profile Assessment'!R12&lt;Methodology!$B$25,"Overdue",IF('CSF Profile Assessment'!R12&lt;=Methodology!$B$25+30,"Due within 30 days","Scheduled")))))))</x:f>
        <x:v>Scheduled</x:v>
      </x:c>
    </x:row>
    <x:row r="13" ht="110" customHeight="1">
      <x:c r="A13" s="102" t="str">
        <x:f>IF('CSF Profile Assessment'!A13="","",'CSF Profile Assessment'!A13)</x:f>
        <x:v>GA-009</x:v>
      </x:c>
      <x:c r="B13" s="102" t="str">
        <x:f>IF(A13="","",'CSF Profile Assessment'!B13)</x:f>
        <x:v>Identify</x:v>
      </x:c>
      <x:c r="C13" s="102" t="str">
        <x:f>IF(A13="","",'CSF Profile Assessment'!C13)</x:f>
        <x:v>ID.RA</x:v>
      </x:c>
      <x:c r="D13" s="102" t="str">
        <x:f>IF(A13="","",'CSF Profile Assessment'!M13)</x:f>
        <x:v>Medium</x:v>
      </x:c>
      <x:c r="E13" s="102" t="str">
        <x:f>IF(A13="","",IF(ISNUMBER('CSF Profile Assessment'!L13),IF('CSF Profile Assessment'!J13&gt;0,"Yes","No"),"Not assessed"))</x:f>
        <x:v>Yes</x:v>
      </x:c>
      <x:c r="F13" s="102" t="str">
        <x:f>IF(A13="","",'CSF Profile Assessment'!O13)</x:f>
        <x:v>Risk information could become stale as systems and threats change.</x:v>
      </x:c>
      <x:c r="G13" s="102" t="str">
        <x:f>IF(A13="","",'CSF Profile Assessment'!P13)</x:f>
        <x:v>Set quarterly register reviews and an annual broader cyber-risk assessment.</x:v>
      </x:c>
      <x:c r="H13" s="102" t="str">
        <x:f>IF(A13="","",'CSF Profile Assessment'!Q13)</x:f>
        <x:v>CISO</x:v>
      </x:c>
      <x:c r="I13" s="138" t="n">
        <x:f>IF(A13="","",IF(ISNUMBER('CSF Profile Assessment'!R13),IF('CSF Profile Assessment'!R13&gt;0,'CSF Profile Assessment'!R13,""),""))</x:f>
        <x:v>46332</x:v>
      </x:c>
      <x:c r="J13" s="102" t="str">
        <x:f>IF(A13="","",'CSF Profile Assessment'!S13)</x:f>
        <x:v>In Progress</x:v>
      </x:c>
      <x:c r="K13" s="102" t="n">
        <x:f>IF(OR(A13="",E13="No",I13=""),"",I13-Methodology!$B$25)</x:f>
        <x:v>34</x:v>
      </x:c>
      <x:c r="L13" s="102" t="str">
        <x:f>IF(A13="","",IF('CSF Profile Assessment'!T13="","",'CSF Profile Assessment'!T13))</x:f>
        <x:v>A register exists but recurring review is new, supporting Partial (2). A scheduled, documented review cycle targets Mostly (3). Impact 3 reflects stale decisions as exposure changes.</x:v>
      </x:c>
      <x:c r="M13" s="102" t="str">
        <x:f>IF(A13="","",IF('CSF Profile Assessment'!U13="","",'CSF Profile Assessment'!U13))</x:f>
        <x:v>Scenario only</x:v>
      </x:c>
      <x:c r="N13" s="102" t="str">
        <x:f>IF(A13="","",IF('CSF Profile Assessment'!V13="","",'CSF Profile Assessment'!V13))</x:f>
        <x:v>Risk register versions, review calendar, decision log and ownership records.</x:v>
      </x:c>
      <x:c r="O13" s="139" t="n">
        <x:f>IF(A13="","",IF('CSF Profile Assessment'!W13="","",'CSF Profile Assessment'!W13))</x:f>
        <x:v>46298</x:v>
      </x:c>
      <x:c r="P13" s="102" t="str">
        <x:f>IF(A13="","",IF('CSF Profile Assessment'!X13="","",'CSF Profile Assessment'!X13))</x:f>
      </x:c>
      <x:c r="Q13" s="102" t="str">
        <x:f>IF(A13="","",'CSF Profile Assessment'!Y13)</x:f>
        <x:v>OK</x:v>
      </x:c>
      <x:c r="R13" s="102" t="str">
        <x:f>IF(A13="","",'CSF Profile Assessment'!Z13)</x:f>
        <x:v>Scenario documented</x:v>
      </x:c>
      <x:c r="S13" s="102" t="str">
        <x:f>IF(A13="","",'CSF Profile Assessment'!AA13)</x:f>
        <x:v>R-022</x:v>
      </x:c>
      <x:c r="T13" s="102" t="str">
        <x:f>IF(A13="","",'CSF Profile Assessment'!AB13)</x:f>
        <x:v>Complete a review cycle and show changes to assumptions, ownership and treatment decisions for material risks.</x:v>
      </x:c>
      <x:c r="U13" s="102" t="str">
        <x:f>IF(A13="","",IF(NOT(ISNUMBER('CSF Profile Assessment'!R13)),"Date needed",IF('CSF Profile Assessment'!R13&lt;=0,"Date needed",IF('CSF Profile Assessment'!S13="Closed","Closed",IF('CSF Profile Assessment'!S13="Accepted",IF('CSF Profile Assessment'!R13&lt;Methodology!$B$25,"Acceptance review due","Accepted - review scheduled"),IF('CSF Profile Assessment'!R13&lt;Methodology!$B$25,"Overdue",IF('CSF Profile Assessment'!R13&lt;=Methodology!$B$25+30,"Due within 30 days","Scheduled")))))))</x:f>
        <x:v>Scheduled</x:v>
      </x:c>
    </x:row>
    <x:row r="14" ht="110" customHeight="1">
      <x:c r="A14" s="102" t="str">
        <x:f>IF('CSF Profile Assessment'!A14="","",'CSF Profile Assessment'!A14)</x:f>
        <x:v>GA-010</x:v>
      </x:c>
      <x:c r="B14" s="102" t="str">
        <x:f>IF(A14="","",'CSF Profile Assessment'!B14)</x:f>
        <x:v>Identify</x:v>
      </x:c>
      <x:c r="C14" s="102" t="str">
        <x:f>IF(A14="","",'CSF Profile Assessment'!C14)</x:f>
        <x:v>ID.RA</x:v>
      </x:c>
      <x:c r="D14" s="102" t="str">
        <x:f>IF(A14="","",'CSF Profile Assessment'!M14)</x:f>
        <x:v>High</x:v>
      </x:c>
      <x:c r="E14" s="102" t="str">
        <x:f>IF(A14="","",IF(ISNUMBER('CSF Profile Assessment'!L14),IF('CSF Profile Assessment'!J14&gt;0,"Yes","No"),"Not assessed"))</x:f>
        <x:v>Yes</x:v>
      </x:c>
      <x:c r="F14" s="102" t="str">
        <x:f>IF(A14="","",'CSF Profile Assessment'!O14)</x:f>
        <x:v>Critical internet-facing vulnerabilities may remain open too long.</x:v>
      </x:c>
      <x:c r="G14" s="102" t="str">
        <x:f>IF(A14="","",'CSF Profile Assessment'!P14)</x:f>
        <x:v>Define scanning cadence, severity/exposure SLAs, and exception approval.</x:v>
      </x:c>
      <x:c r="H14" s="102" t="str">
        <x:f>IF(A14="","",'CSF Profile Assessment'!Q14)</x:f>
        <x:v>Security Manager</x:v>
      </x:c>
      <x:c r="I14" s="138" t="n">
        <x:f>IF(A14="","",IF(ISNUMBER('CSF Profile Assessment'!R14),IF('CSF Profile Assessment'!R14&gt;0,'CSF Profile Assessment'!R14,""),""))</x:f>
        <x:v>46317</x:v>
      </x:c>
      <x:c r="J14" s="102" t="str">
        <x:f>IF(A14="","",'CSF Profile Assessment'!S14)</x:f>
        <x:v>In Progress</x:v>
      </x:c>
      <x:c r="K14" s="102" t="n">
        <x:f>IF(OR(A14="",E14="No",I14=""),"",I14-Methodology!$B$25)</x:f>
        <x:v>19</x:v>
      </x:c>
      <x:c r="L14" s="102" t="str">
        <x:f>IF(A14="","",IF('CSF Profile Assessment'!T14="","",'CSF Profile Assessment'!T14))</x:f>
        <x:v>Patching occurs but exposure-based prioritization is incomplete: Partial (2). Repeatable triage and exception decisions target In place (4). Impact 3 reflects exploitable production weaknesses.</x:v>
      </x:c>
      <x:c r="M14" s="102" t="str">
        <x:f>IF(A14="","",IF('CSF Profile Assessment'!U14="","",'CSF Profile Assessment'!U14))</x:f>
        <x:v>Scenario only</x:v>
      </x:c>
      <x:c r="N14" s="102" t="str">
        <x:f>IF(A14="","",IF('CSF Profile Assessment'!V14="","",'CSF Profile Assessment'!V14))</x:f>
        <x:v>Scan results, asset criticality, internet exposure, threat context, remediation SLAs and exceptions.</x:v>
      </x:c>
      <x:c r="O14" s="139" t="n">
        <x:f>IF(A14="","",IF('CSF Profile Assessment'!W14="","",'CSF Profile Assessment'!W14))</x:f>
        <x:v>46298</x:v>
      </x:c>
      <x:c r="P14" s="102" t="str">
        <x:f>IF(A14="","",IF('CSF Profile Assessment'!X14="","",'CSF Profile Assessment'!X14))</x:f>
      </x:c>
      <x:c r="Q14" s="102" t="str">
        <x:f>IF(A14="","",'CSF Profile Assessment'!Y14)</x:f>
        <x:v>OK</x:v>
      </x:c>
      <x:c r="R14" s="102" t="str">
        <x:f>IF(A14="","",'CSF Profile Assessment'!Z14)</x:f>
        <x:v>Scenario documented</x:v>
      </x:c>
      <x:c r="S14" s="102" t="str">
        <x:f>IF(A14="","",'CSF Profile Assessment'!AA14)</x:f>
        <x:v>R-008, R-025</x:v>
      </x:c>
      <x:c r="T14" s="102" t="str">
        <x:f>IF(A14="","",'CSF Profile Assessment'!AB14)</x:f>
        <x:v>Sample high-risk vulnerabilities and trace prioritization through remediation and independent rescan evidence.</x:v>
      </x:c>
      <x:c r="U14" s="102" t="str">
        <x:f>IF(A14="","",IF(NOT(ISNUMBER('CSF Profile Assessment'!R14)),"Date needed",IF('CSF Profile Assessment'!R14&lt;=0,"Date needed",IF('CSF Profile Assessment'!S14="Closed","Closed",IF('CSF Profile Assessment'!S14="Accepted",IF('CSF Profile Assessment'!R14&lt;Methodology!$B$25,"Acceptance review due","Accepted - review scheduled"),IF('CSF Profile Assessment'!R14&lt;Methodology!$B$25,"Overdue",IF('CSF Profile Assessment'!R14&lt;=Methodology!$B$25+30,"Due within 30 days","Scheduled")))))))</x:f>
        <x:v>Due within 30 days</x:v>
      </x:c>
    </x:row>
    <x:row r="15" ht="110" customHeight="1">
      <x:c r="A15" s="102" t="str">
        <x:f>IF('CSF Profile Assessment'!A15="","",'CSF Profile Assessment'!A15)</x:f>
        <x:v>GA-011</x:v>
      </x:c>
      <x:c r="B15" s="102" t="str">
        <x:f>IF(A15="","",'CSF Profile Assessment'!B15)</x:f>
        <x:v>Identify</x:v>
      </x:c>
      <x:c r="C15" s="102" t="str">
        <x:f>IF(A15="","",'CSF Profile Assessment'!C15)</x:f>
        <x:v>ID.IM</x:v>
      </x:c>
      <x:c r="D15" s="102" t="str">
        <x:f>IF(A15="","",'CSF Profile Assessment'!M15)</x:f>
        <x:v>No Gap</x:v>
      </x:c>
      <x:c r="E15" s="102" t="str">
        <x:f>IF(A15="","",IF(ISNUMBER('CSF Profile Assessment'!L15),IF('CSF Profile Assessment'!J15&gt;0,"Yes","No"),"Not assessed"))</x:f>
        <x:v>No</x:v>
      </x:c>
      <x:c r="F15" s="102" t="str">
        <x:f>IF(A15="","",'CSF Profile Assessment'!O15)</x:f>
        <x:v>No material gap noted for the simulated scope; process could be more centralized later.</x:v>
      </x:c>
      <x:c r="G15" s="102" t="str">
        <x:f>IF(A15="","",'CSF Profile Assessment'!P15)</x:f>
        <x:v>Maintain the current practice and periodically verify that corrective actions close.</x:v>
      </x:c>
      <x:c r="H15" s="102" t="str">
        <x:f>IF(A15="","",'CSF Profile Assessment'!Q15)</x:f>
        <x:v>Security Manager</x:v>
      </x:c>
      <x:c r="I15" s="138" t="n">
        <x:f>IF(A15="","",IF(ISNUMBER('CSF Profile Assessment'!R15),IF('CSF Profile Assessment'!R15&gt;0,'CSF Profile Assessment'!R15,""),""))</x:f>
        <x:v>46452</x:v>
      </x:c>
      <x:c r="J15" s="102" t="str">
        <x:f>IF(A15="","",'CSF Profile Assessment'!S15)</x:f>
        <x:v>Monitor</x:v>
      </x:c>
      <x:c r="K15" s="102" t="str">
        <x:f>IF(OR(A15="",E15="No",I15=""),"",I15-Methodology!$B$25)</x:f>
      </x:c>
      <x:c r="L15" s="102" t="str">
        <x:f>IF(A15="","",IF('CSF Profile Assessment'!T15="","",'CSF Profile Assessment'!T15))</x:f>
        <x:v>Teams already capture and follow corrective actions, supporting Mostly (3), which matches the target. Impact 1 reflects incremental process improvement within this narrow scope; no gap does not prove perfect performance.</x:v>
      </x:c>
      <x:c r="M15" s="102" t="str">
        <x:f>IF(A15="","",IF('CSF Profile Assessment'!U15="","",'CSF Profile Assessment'!U15))</x:f>
        <x:v>Scenario only</x:v>
      </x:c>
      <x:c r="N15" s="102" t="str">
        <x:f>IF(A15="","",IF('CSF Profile Assessment'!V15="","",'CSF Profile Assessment'!V15))</x:f>
        <x:v>Incident/project action lists, owners, deadlines and completion records.</x:v>
      </x:c>
      <x:c r="O15" s="139" t="n">
        <x:f>IF(A15="","",IF('CSF Profile Assessment'!W15="","",'CSF Profile Assessment'!W15))</x:f>
        <x:v>46298</x:v>
      </x:c>
      <x:c r="P15" s="102" t="str">
        <x:f>IF(A15="","",IF('CSF Profile Assessment'!X15="","",'CSF Profile Assessment'!X15))</x:f>
      </x:c>
      <x:c r="Q15" s="102" t="str">
        <x:f>IF(A15="","",'CSF Profile Assessment'!Y15)</x:f>
        <x:v>OK</x:v>
      </x:c>
      <x:c r="R15" s="102" t="str">
        <x:f>IF(A15="","",'CSF Profile Assessment'!Z15)</x:f>
        <x:v>Scenario documented</x:v>
      </x:c>
      <x:c r="S15" s="102" t="str">
        <x:f>IF(A15="","",'CSF Profile Assessment'!AA15)</x:f>
        <x:v>None - program-level improvement</x:v>
      </x:c>
      <x:c r="T15" s="102" t="str">
        <x:f>IF(A15="","",'CSF Profile Assessment'!AB15)</x:f>
        <x:v>Sample corrective actions for accountable owners and completion evidence; retain the practice and reassess if follow-up deteriorates.</x:v>
      </x:c>
      <x:c r="U15" s="102" t="str">
        <x:f>IF(A15="","",IF(NOT(ISNUMBER('CSF Profile Assessment'!R15)),"Date needed",IF('CSF Profile Assessment'!R15&lt;=0,"Date needed",IF('CSF Profile Assessment'!S15="Closed","Closed",IF('CSF Profile Assessment'!S15="Accepted",IF('CSF Profile Assessment'!R15&lt;Methodology!$B$25,"Acceptance review due","Accepted - review scheduled"),IF('CSF Profile Assessment'!R15&lt;Methodology!$B$25,"Overdue",IF('CSF Profile Assessment'!R15&lt;=Methodology!$B$25+30,"Due within 30 days","Scheduled")))))))</x:f>
        <x:v>Scheduled</x:v>
      </x:c>
    </x:row>
    <x:row r="16" ht="110" customHeight="1">
      <x:c r="A16" s="102" t="str">
        <x:f>IF('CSF Profile Assessment'!A16="","",'CSF Profile Assessment'!A16)</x:f>
        <x:v>GA-012</x:v>
      </x:c>
      <x:c r="B16" s="102" t="str">
        <x:f>IF(A16="","",'CSF Profile Assessment'!B16)</x:f>
        <x:v>Protect</x:v>
      </x:c>
      <x:c r="C16" s="102" t="str">
        <x:f>IF(A16="","",'CSF Profile Assessment'!C16)</x:f>
        <x:v>PR.AA</x:v>
      </x:c>
      <x:c r="D16" s="102" t="str">
        <x:f>IF(A16="","",'CSF Profile Assessment'!M16)</x:f>
        <x:v>Medium</x:v>
      </x:c>
      <x:c r="E16" s="102" t="str">
        <x:f>IF(A16="","",IF(ISNUMBER('CSF Profile Assessment'!L16),IF('CSF Profile Assessment'!J16&gt;0,"Yes","No"),"Not assessed"))</x:f>
        <x:v>Yes</x:v>
      </x:c>
      <x:c r="F16" s="102" t="str">
        <x:f>IF(A16="","",'CSF Profile Assessment'!O16)</x:f>
        <x:v>Privileged access remains more exposed to phishing than the target state allows.</x:v>
      </x:c>
      <x:c r="G16" s="102" t="str">
        <x:f>IF(A16="","",'CSF Profile Assessment'!P16)</x:f>
        <x:v>Complete phishing-resistant MFA rollout for privileged roles and validate coverage.</x:v>
      </x:c>
      <x:c r="H16" s="102" t="str">
        <x:f>IF(A16="","",'CSF Profile Assessment'!Q16)</x:f>
        <x:v>IT Manager</x:v>
      </x:c>
      <x:c r="I16" s="138" t="n">
        <x:f>IF(A16="","",IF(ISNUMBER('CSF Profile Assessment'!R16),IF('CSF Profile Assessment'!R16&gt;0,'CSF Profile Assessment'!R16,""),""))</x:f>
        <x:v>46302</x:v>
      </x:c>
      <x:c r="J16" s="102" t="str">
        <x:f>IF(A16="","",'CSF Profile Assessment'!S16)</x:f>
        <x:v>In Progress</x:v>
      </x:c>
      <x:c r="K16" s="102" t="n">
        <x:f>IF(OR(A16="",E16="No",I16=""),"",I16-Methodology!$B$25)</x:f>
        <x:v>4</x:v>
      </x:c>
      <x:c r="L16" s="102" t="str">
        <x:f>IF(A16="","",IF('CSF Profile Assessment'!T16="","",'CSF Profile Assessment'!T16))</x:f>
        <x:v>Standard MFA has broad coverage, supporting Mostly (3). Enforced phishing-resistant MFA for all privileged access targets In place (4). Impact 3 reflects administrator compromise.</x:v>
      </x:c>
      <x:c r="M16" s="102" t="str">
        <x:f>IF(A16="","",IF('CSF Profile Assessment'!U16="","",'CSF Profile Assessment'!U16))</x:f>
        <x:v>Scenario only</x:v>
      </x:c>
      <x:c r="N16" s="102" t="str">
        <x:f>IF(A16="","",IF('CSF Profile Assessment'!V16="","",'CSF Profile Assessment'!V16))</x:f>
        <x:v>Privileged account inventory, authentication policies, exception records and sign-in tests.</x:v>
      </x:c>
      <x:c r="O16" s="139" t="n">
        <x:f>IF(A16="","",IF('CSF Profile Assessment'!W16="","",'CSF Profile Assessment'!W16))</x:f>
        <x:v>46298</x:v>
      </x:c>
      <x:c r="P16" s="102" t="str">
        <x:f>IF(A16="","",IF('CSF Profile Assessment'!X16="","",'CSF Profile Assessment'!X16))</x:f>
      </x:c>
      <x:c r="Q16" s="102" t="str">
        <x:f>IF(A16="","",'CSF Profile Assessment'!Y16)</x:f>
        <x:v>OK</x:v>
      </x:c>
      <x:c r="R16" s="102" t="str">
        <x:f>IF(A16="","",'CSF Profile Assessment'!Z16)</x:f>
        <x:v>Scenario documented</x:v>
      </x:c>
      <x:c r="S16" s="102" t="str">
        <x:f>IF(A16="","",'CSF Profile Assessment'!AA16)</x:f>
        <x:v>R-001, R-027</x:v>
      </x:c>
      <x:c r="T16" s="102" t="str">
        <x:f>IF(A16="","",'CSF Profile Assessment'!AB16)</x:f>
        <x:v>Reconcile privileged accounts to policy enforcement and test blocked noncompliant authentication, including recovery exceptions.</x:v>
      </x:c>
      <x:c r="U16" s="102" t="str">
        <x:f>IF(A16="","",IF(NOT(ISNUMBER('CSF Profile Assessment'!R16)),"Date needed",IF('CSF Profile Assessment'!R16&lt;=0,"Date needed",IF('CSF Profile Assessment'!S16="Closed","Closed",IF('CSF Profile Assessment'!S16="Accepted",IF('CSF Profile Assessment'!R16&lt;Methodology!$B$25,"Acceptance review due","Accepted - review scheduled"),IF('CSF Profile Assessment'!R16&lt;Methodology!$B$25,"Overdue",IF('CSF Profile Assessment'!R16&lt;=Methodology!$B$25+30,"Due within 30 days","Scheduled")))))))</x:f>
        <x:v>Due within 30 days</x:v>
      </x:c>
    </x:row>
    <x:row r="17" ht="110" customHeight="1">
      <x:c r="A17" s="102" t="str">
        <x:f>IF('CSF Profile Assessment'!A17="","",'CSF Profile Assessment'!A17)</x:f>
        <x:v>GA-013</x:v>
      </x:c>
      <x:c r="B17" s="102" t="str">
        <x:f>IF(A17="","",'CSF Profile Assessment'!B17)</x:f>
        <x:v>Protect</x:v>
      </x:c>
      <x:c r="C17" s="102" t="str">
        <x:f>IF(A17="","",'CSF Profile Assessment'!C17)</x:f>
        <x:v>PR.AA</x:v>
      </x:c>
      <x:c r="D17" s="102" t="str">
        <x:f>IF(A17="","",'CSF Profile Assessment'!M17)</x:f>
        <x:v>High</x:v>
      </x:c>
      <x:c r="E17" s="102" t="str">
        <x:f>IF(A17="","",IF(ISNUMBER('CSF Profile Assessment'!L17),IF('CSF Profile Assessment'!J17&gt;0,"Yes","No"),"Not assessed"))</x:f>
        <x:v>Yes</x:v>
      </x:c>
      <x:c r="F17" s="102" t="str">
        <x:f>IF(A17="","",'CSF Profile Assessment'!O17)</x:f>
        <x:v>Former or overprivileged accounts could persist beyond business need.</x:v>
      </x:c>
      <x:c r="G17" s="102" t="str">
        <x:f>IF(A17="","",'CSF Profile Assessment'!P17)</x:f>
        <x:v>Formalize identity lifecycle and quarterly privileged-access reviews.</x:v>
      </x:c>
      <x:c r="H17" s="102" t="str">
        <x:f>IF(A17="","",'CSF Profile Assessment'!Q17)</x:f>
        <x:v>IT Manager</x:v>
      </x:c>
      <x:c r="I17" s="138" t="n">
        <x:f>IF(A17="","",IF(ISNUMBER('CSF Profile Assessment'!R17),IF('CSF Profile Assessment'!R17&gt;0,'CSF Profile Assessment'!R17,""),""))</x:f>
        <x:v>46332</x:v>
      </x:c>
      <x:c r="J17" s="102" t="str">
        <x:f>IF(A17="","",'CSF Profile Assessment'!S17)</x:f>
        <x:v>In Progress</x:v>
      </x:c>
      <x:c r="K17" s="102" t="n">
        <x:f>IF(OR(A17="",E17="No",I17=""),"",I17-Methodology!$B$25)</x:f>
        <x:v>34</x:v>
      </x:c>
      <x:c r="L17" s="102" t="str">
        <x:f>IF(A17="","",IF('CSF Profile Assessment'!T17="","",'CSF Profile Assessment'!T17))</x:f>
        <x:v>Manual lifecycle steps and limited access reviews support Partial (2). Consistent lifecycle and recertification target In place (4). Impact 3 reflects former or excessive access to sensitive systems.</x:v>
      </x:c>
      <x:c r="M17" s="102" t="str">
        <x:f>IF(A17="","",IF('CSF Profile Assessment'!U17="","",'CSF Profile Assessment'!U17))</x:f>
        <x:v>Scenario only</x:v>
      </x:c>
      <x:c r="N17" s="102" t="str">
        <x:f>IF(A17="","",IF('CSF Profile Assessment'!V17="","",'CSF Profile Assessment'!V17))</x:f>
        <x:v>HR joiner/mover/leaver records, access tickets, application accounts and recertification decisions.</x:v>
      </x:c>
      <x:c r="O17" s="139" t="n">
        <x:f>IF(A17="","",IF('CSF Profile Assessment'!W17="","",'CSF Profile Assessment'!W17))</x:f>
        <x:v>46298</x:v>
      </x:c>
      <x:c r="P17" s="102" t="str">
        <x:f>IF(A17="","",IF('CSF Profile Assessment'!X17="","",'CSF Profile Assessment'!X17))</x:f>
      </x:c>
      <x:c r="Q17" s="102" t="str">
        <x:f>IF(A17="","",'CSF Profile Assessment'!Y17)</x:f>
        <x:v>OK</x:v>
      </x:c>
      <x:c r="R17" s="102" t="str">
        <x:f>IF(A17="","",'CSF Profile Assessment'!Z17)</x:f>
        <x:v>Scenario documented</x:v>
      </x:c>
      <x:c r="S17" s="102" t="str">
        <x:f>IF(A17="","",'CSF Profile Assessment'!AA17)</x:f>
        <x:v>R-001, R-002, R-003, R-010, R-024, R-027</x:v>
      </x:c>
      <x:c r="T17" s="102" t="str">
        <x:f>IF(A17="","",'CSF Profile Assessment'!AB17)</x:f>
        <x:v>Trace recent departures and role changes across applications; retest removed access and review privileged entitlements.</x:v>
      </x:c>
      <x:c r="U17" s="102" t="str">
        <x:f>IF(A17="","",IF(NOT(ISNUMBER('CSF Profile Assessment'!R17)),"Date needed",IF('CSF Profile Assessment'!R17&lt;=0,"Date needed",IF('CSF Profile Assessment'!S17="Closed","Closed",IF('CSF Profile Assessment'!S17="Accepted",IF('CSF Profile Assessment'!R17&lt;Methodology!$B$25,"Acceptance review due","Accepted - review scheduled"),IF('CSF Profile Assessment'!R17&lt;Methodology!$B$25,"Overdue",IF('CSF Profile Assessment'!R17&lt;=Methodology!$B$25+30,"Due within 30 days","Scheduled")))))))</x:f>
        <x:v>Scheduled</x:v>
      </x:c>
    </x:row>
    <x:row r="18" ht="110" customHeight="1">
      <x:c r="A18" s="102" t="str">
        <x:f>IF('CSF Profile Assessment'!A18="","",'CSF Profile Assessment'!A18)</x:f>
        <x:v>GA-014</x:v>
      </x:c>
      <x:c r="B18" s="102" t="str">
        <x:f>IF(A18="","",'CSF Profile Assessment'!B18)</x:f>
        <x:v>Protect</x:v>
      </x:c>
      <x:c r="C18" s="102" t="str">
        <x:f>IF(A18="","",'CSF Profile Assessment'!C18)</x:f>
        <x:v>PR.AT</x:v>
      </x:c>
      <x:c r="D18" s="102" t="str">
        <x:f>IF(A18="","",'CSF Profile Assessment'!M18)</x:f>
        <x:v>No Gap</x:v>
      </x:c>
      <x:c r="E18" s="102" t="str">
        <x:f>IF(A18="","",IF(ISNUMBER('CSF Profile Assessment'!L18),IF('CSF Profile Assessment'!J18&gt;0,"Yes","No"),"Not assessed"))</x:f>
        <x:v>No</x:v>
      </x:c>
      <x:c r="F18" s="102" t="str">
        <x:f>IF(A18="","",'CSF Profile Assessment'!O18)</x:f>
        <x:v>No material gap noted for the current target; measurement can improve over time.</x:v>
      </x:c>
      <x:c r="G18" s="102" t="str">
        <x:f>IF(A18="","",'CSF Profile Assessment'!P18)</x:f>
        <x:v>Maintain training and add periodic phishing-resilience metrics when feasible.</x:v>
      </x:c>
      <x:c r="H18" s="102" t="str">
        <x:f>IF(A18="","",'CSF Profile Assessment'!Q18)</x:f>
        <x:v>HR Manager</x:v>
      </x:c>
      <x:c r="I18" s="138" t="n">
        <x:f>IF(A18="","",IF(ISNUMBER('CSF Profile Assessment'!R18),IF('CSF Profile Assessment'!R18&gt;0,'CSF Profile Assessment'!R18,""),""))</x:f>
        <x:v>46452</x:v>
      </x:c>
      <x:c r="J18" s="102" t="str">
        <x:f>IF(A18="","",'CSF Profile Assessment'!S18)</x:f>
        <x:v>Monitor</x:v>
      </x:c>
      <x:c r="K18" s="102" t="str">
        <x:f>IF(OR(A18="",E18="No",I18=""),"",I18-Methodology!$B$25)</x:f>
      </x:c>
      <x:c r="L18" s="102" t="str">
        <x:f>IF(A18="","",IF('CSF Profile Assessment'!T18="","",'CSF Profile Assessment'!T18))</x:f>
        <x:v>Annual training and targeted reminders support Mostly (3), matching the selected target. Impact 2 reflects workforce exposure. A future phishing-measurement program is an improvement, not an existing target failure.</x:v>
      </x:c>
      <x:c r="M18" s="102" t="str">
        <x:f>IF(A18="","",IF('CSF Profile Assessment'!U18="","",'CSF Profile Assessment'!U18))</x:f>
        <x:v>Scenario only</x:v>
      </x:c>
      <x:c r="N18" s="102" t="str">
        <x:f>IF(A18="","",IF('CSF Profile Assessment'!V18="","",'CSF Profile Assessment'!V18))</x:f>
        <x:v>Training completion, role-specific materials, reminders and reporting instructions.</x:v>
      </x:c>
      <x:c r="O18" s="139" t="n">
        <x:f>IF(A18="","",IF('CSF Profile Assessment'!W18="","",'CSF Profile Assessment'!W18))</x:f>
        <x:v>46298</x:v>
      </x:c>
      <x:c r="P18" s="102" t="str">
        <x:f>IF(A18="","",IF('CSF Profile Assessment'!X18="","",'CSF Profile Assessment'!X18))</x:f>
      </x:c>
      <x:c r="Q18" s="102" t="str">
        <x:f>IF(A18="","",'CSF Profile Assessment'!Y18)</x:f>
        <x:v>OK</x:v>
      </x:c>
      <x:c r="R18" s="102" t="str">
        <x:f>IF(A18="","",'CSF Profile Assessment'!Z18)</x:f>
        <x:v>Scenario documented</x:v>
      </x:c>
      <x:c r="S18" s="102" t="str">
        <x:f>IF(A18="","",'CSF Profile Assessment'!AA18)</x:f>
        <x:v>R-018, R-027</x:v>
      </x:c>
      <x:c r="T18" s="102" t="str">
        <x:f>IF(A18="","",'CSF Profile Assessment'!AB18)</x:f>
        <x:v>Sample completion and role relevance, test the reporting channel and reassess the target if threat exposure changes.</x:v>
      </x:c>
      <x:c r="U18" s="102" t="str">
        <x:f>IF(A18="","",IF(NOT(ISNUMBER('CSF Profile Assessment'!R18)),"Date needed",IF('CSF Profile Assessment'!R18&lt;=0,"Date needed",IF('CSF Profile Assessment'!S18="Closed","Closed",IF('CSF Profile Assessment'!S18="Accepted",IF('CSF Profile Assessment'!R18&lt;Methodology!$B$25,"Acceptance review due","Accepted - review scheduled"),IF('CSF Profile Assessment'!R18&lt;Methodology!$B$25,"Overdue",IF('CSF Profile Assessment'!R18&lt;=Methodology!$B$25+30,"Due within 30 days","Scheduled")))))))</x:f>
        <x:v>Scheduled</x:v>
      </x:c>
    </x:row>
    <x:row r="19" ht="110" customHeight="1">
      <x:c r="A19" s="102" t="str">
        <x:f>IF('CSF Profile Assessment'!A19="","",'CSF Profile Assessment'!A19)</x:f>
        <x:v>GA-015</x:v>
      </x:c>
      <x:c r="B19" s="102" t="str">
        <x:f>IF(A19="","",'CSF Profile Assessment'!B19)</x:f>
        <x:v>Protect</x:v>
      </x:c>
      <x:c r="C19" s="102" t="str">
        <x:f>IF(A19="","",'CSF Profile Assessment'!C19)</x:f>
        <x:v>PR.DS</x:v>
      </x:c>
      <x:c r="D19" s="102" t="str">
        <x:f>IF(A19="","",'CSF Profile Assessment'!M19)</x:f>
        <x:v>Medium</x:v>
      </x:c>
      <x:c r="E19" s="102" t="str">
        <x:f>IF(A19="","",IF(ISNUMBER('CSF Profile Assessment'!L19),IF('CSF Profile Assessment'!J19&gt;0,"Yes","No"),"Not assessed"))</x:f>
        <x:v>Yes</x:v>
      </x:c>
      <x:c r="F19" s="102" t="str">
        <x:f>IF(A19="","",'CSF Profile Assessment'!O19)</x:f>
        <x:v>Employees may handle or share similar data differently across platforms.</x:v>
      </x:c>
      <x:c r="G19" s="102" t="str">
        <x:f>IF(A19="","",'CSF Profile Assessment'!P19)</x:f>
        <x:v>Define a practical data-classification scheme and align sharing/DLP rules to it.</x:v>
      </x:c>
      <x:c r="H19" s="102" t="str">
        <x:f>IF(A19="","",'CSF Profile Assessment'!Q19)</x:f>
        <x:v>Data Owner</x:v>
      </x:c>
      <x:c r="I19" s="138" t="n">
        <x:f>IF(A19="","",IF(ISNUMBER('CSF Profile Assessment'!R19),IF('CSF Profile Assessment'!R19&gt;0,'CSF Profile Assessment'!R19,""),""))</x:f>
        <x:v>46362</x:v>
      </x:c>
      <x:c r="J19" s="102" t="str">
        <x:f>IF(A19="","",'CSF Profile Assessment'!S19)</x:f>
        <x:v>Planned</x:v>
      </x:c>
      <x:c r="K19" s="102" t="n">
        <x:f>IF(OR(A19="",E19="No",I19=""),"",I19-Methodology!$B$25)</x:f>
        <x:v>64</x:v>
      </x:c>
      <x:c r="L19" s="102" t="str">
        <x:f>IF(A19="","",IF('CSF Profile Assessment'!T19="","",'CSF Profile Assessment'!T19))</x:f>
        <x:v>Sensitive data is recognized but handling labels are inconsistent: Partial (2). A practical classification and sharing scheme targets Mostly (3). Impact 3 reflects customer-data disclosure.</x:v>
      </x:c>
      <x:c r="M19" s="102" t="str">
        <x:f>IF(A19="","",IF('CSF Profile Assessment'!U19="","",'CSF Profile Assessment'!U19))</x:f>
        <x:v>Scenario only</x:v>
      </x:c>
      <x:c r="N19" s="102" t="str">
        <x:f>IF(A19="","",IF('CSF Profile Assessment'!V19="","",'CSF Profile Assessment'!V19))</x:f>
        <x:v>Classification policy, data inventory, sharing rules, labels and DLP configuration.</x:v>
      </x:c>
      <x:c r="O19" s="139" t="n">
        <x:f>IF(A19="","",IF('CSF Profile Assessment'!W19="","",'CSF Profile Assessment'!W19))</x:f>
        <x:v>46298</x:v>
      </x:c>
      <x:c r="P19" s="102" t="str">
        <x:f>IF(A19="","",IF('CSF Profile Assessment'!X19="","",'CSF Profile Assessment'!X19))</x:f>
      </x:c>
      <x:c r="Q19" s="102" t="str">
        <x:f>IF(A19="","",'CSF Profile Assessment'!Y19)</x:f>
        <x:v>OK</x:v>
      </x:c>
      <x:c r="R19" s="102" t="str">
        <x:f>IF(A19="","",'CSF Profile Assessment'!Z19)</x:f>
        <x:v>Scenario documented</x:v>
      </x:c>
      <x:c r="S19" s="102" t="str">
        <x:f>IF(A19="","",'CSF Profile Assessment'!AA19)</x:f>
        <x:v>R-003, R-005, R-007, R-010, R-011, R-024</x:v>
      </x:c>
      <x:c r="T19" s="102" t="str">
        <x:f>IF(A19="","",'CSF Profile Assessment'!AB19)</x:f>
        <x:v>Use synthetic sensitive data to verify labeling and prohibited sharing are enforced while approved workflows function.</x:v>
      </x:c>
      <x:c r="U19" s="102" t="str">
        <x:f>IF(A19="","",IF(NOT(ISNUMBER('CSF Profile Assessment'!R19)),"Date needed",IF('CSF Profile Assessment'!R19&lt;=0,"Date needed",IF('CSF Profile Assessment'!S19="Closed","Closed",IF('CSF Profile Assessment'!S19="Accepted",IF('CSF Profile Assessment'!R19&lt;Methodology!$B$25,"Acceptance review due","Accepted - review scheduled"),IF('CSF Profile Assessment'!R19&lt;Methodology!$B$25,"Overdue",IF('CSF Profile Assessment'!R19&lt;=Methodology!$B$25+30,"Due within 30 days","Scheduled")))))))</x:f>
        <x:v>Scheduled</x:v>
      </x:c>
    </x:row>
    <x:row r="20" ht="110" customHeight="1">
      <x:c r="A20" s="102" t="str">
        <x:f>IF('CSF Profile Assessment'!A20="","",'CSF Profile Assessment'!A20)</x:f>
        <x:v>GA-016</x:v>
      </x:c>
      <x:c r="B20" s="102" t="str">
        <x:f>IF(A20="","",'CSF Profile Assessment'!B20)</x:f>
        <x:v>Protect</x:v>
      </x:c>
      <x:c r="C20" s="102" t="str">
        <x:f>IF(A20="","",'CSF Profile Assessment'!C20)</x:f>
        <x:v>PR.PS</x:v>
      </x:c>
      <x:c r="D20" s="102" t="str">
        <x:f>IF(A20="","",'CSF Profile Assessment'!M20)</x:f>
        <x:v>Medium</x:v>
      </x:c>
      <x:c r="E20" s="102" t="str">
        <x:f>IF(A20="","",IF(ISNUMBER('CSF Profile Assessment'!L20),IF('CSF Profile Assessment'!J20&gt;0,"Yes","No"),"Not assessed"))</x:f>
        <x:v>Yes</x:v>
      </x:c>
      <x:c r="F20" s="102" t="str">
        <x:f>IF(A20="","",'CSF Profile Assessment'!O20)</x:f>
        <x:v>Malware detection and configuration consistency are below the desired state.</x:v>
      </x:c>
      <x:c r="G20" s="102" t="str">
        <x:f>IF(A20="","",'CSF Profile Assessment'!P20)</x:f>
        <x:v>Deploy EDR broadly and measure compliance against a documented endpoint baseline.</x:v>
      </x:c>
      <x:c r="H20" s="102" t="str">
        <x:f>IF(A20="","",'CSF Profile Assessment'!Q20)</x:f>
        <x:v>Security Manager</x:v>
      </x:c>
      <x:c r="I20" s="138" t="n">
        <x:f>IF(A20="","",IF(ISNUMBER('CSF Profile Assessment'!R20),IF('CSF Profile Assessment'!R20&gt;0,'CSF Profile Assessment'!R20,""),""))</x:f>
        <x:v>46332</x:v>
      </x:c>
      <x:c r="J20" s="102" t="str">
        <x:f>IF(A20="","",'CSF Profile Assessment'!S20)</x:f>
        <x:v>Planned</x:v>
      </x:c>
      <x:c r="K20" s="102" t="n">
        <x:f>IF(OR(A20="",E20="No",I20=""),"",I20-Methodology!$B$25)</x:f>
        <x:v>34</x:v>
      </x:c>
      <x:c r="L20" s="102" t="str">
        <x:f>IF(A20="","",IF('CSF Profile Assessment'!T20="","",'CSF Profile Assessment'!T20))</x:f>
        <x:v>Antivirus/firewalls exist but EDR and baseline coverage are incomplete: Partial (2). Broad managed coverage targets Mostly (3). Impact 3 reflects compromised devices and credentials.</x:v>
      </x:c>
      <x:c r="M20" s="102" t="str">
        <x:f>IF(A20="","",IF('CSF Profile Assessment'!U20="","",'CSF Profile Assessment'!U20))</x:f>
        <x:v>Scenario only</x:v>
      </x:c>
      <x:c r="N20" s="102" t="str">
        <x:f>IF(A20="","",IF('CSF Profile Assessment'!V20="","",'CSF Profile Assessment'!V20))</x:f>
        <x:v>Managed-device inventory, baseline, EDR coverage/health and exception list.</x:v>
      </x:c>
      <x:c r="O20" s="139" t="n">
        <x:f>IF(A20="","",IF('CSF Profile Assessment'!W20="","",'CSF Profile Assessment'!W20))</x:f>
        <x:v>46298</x:v>
      </x:c>
      <x:c r="P20" s="102" t="str">
        <x:f>IF(A20="","",IF('CSF Profile Assessment'!X20="","",'CSF Profile Assessment'!X20))</x:f>
      </x:c>
      <x:c r="Q20" s="102" t="str">
        <x:f>IF(A20="","",'CSF Profile Assessment'!Y20)</x:f>
        <x:v>OK</x:v>
      </x:c>
      <x:c r="R20" s="102" t="str">
        <x:f>IF(A20="","",'CSF Profile Assessment'!Z20)</x:f>
        <x:v>Scenario documented</x:v>
      </x:c>
      <x:c r="S20" s="102" t="str">
        <x:f>IF(A20="","",'CSF Profile Assessment'!AA20)</x:f>
        <x:v>R-004, R-006, R-007</x:v>
      </x:c>
      <x:c r="T20" s="102" t="str">
        <x:f>IF(A20="","",'CSF Profile Assessment'!AB20)</x:f>
        <x:v>Reconcile endpoint coverage, test a benign alert and record remediation of baseline exceptions.</x:v>
      </x:c>
      <x:c r="U20" s="102" t="str">
        <x:f>IF(A20="","",IF(NOT(ISNUMBER('CSF Profile Assessment'!R20)),"Date needed",IF('CSF Profile Assessment'!R20&lt;=0,"Date needed",IF('CSF Profile Assessment'!S20="Closed","Closed",IF('CSF Profile Assessment'!S20="Accepted",IF('CSF Profile Assessment'!R20&lt;Methodology!$B$25,"Acceptance review due","Accepted - review scheduled"),IF('CSF Profile Assessment'!R20&lt;Methodology!$B$25,"Overdue",IF('CSF Profile Assessment'!R20&lt;=Methodology!$B$25+30,"Due within 30 days","Scheduled")))))))</x:f>
        <x:v>Scheduled</x:v>
      </x:c>
    </x:row>
    <x:row r="21" ht="110" customHeight="1">
      <x:c r="A21" s="102" t="str">
        <x:f>IF('CSF Profile Assessment'!A21="","",'CSF Profile Assessment'!A21)</x:f>
        <x:v>GA-017</x:v>
      </x:c>
      <x:c r="B21" s="102" t="str">
        <x:f>IF(A21="","",'CSF Profile Assessment'!B21)</x:f>
        <x:v>Protect</x:v>
      </x:c>
      <x:c r="C21" s="102" t="str">
        <x:f>IF(A21="","",'CSF Profile Assessment'!C21)</x:f>
        <x:v>PR.PS</x:v>
      </x:c>
      <x:c r="D21" s="102" t="str">
        <x:f>IF(A21="","",'CSF Profile Assessment'!M21)</x:f>
        <x:v>High</x:v>
      </x:c>
      <x:c r="E21" s="102" t="str">
        <x:f>IF(A21="","",IF(ISNUMBER('CSF Profile Assessment'!L21),IF('CSF Profile Assessment'!J21&gt;0,"Yes","No"),"Not assessed"))</x:f>
        <x:v>Yes</x:v>
      </x:c>
      <x:c r="F21" s="102" t="str">
        <x:f>IF(A21="","",'CSF Profile Assessment'!O21)</x:f>
        <x:v>High-risk vulnerabilities may remain open without documented exception.</x:v>
      </x:c>
      <x:c r="G21" s="102" t="str">
        <x:f>IF(A21="","",'CSF Profile Assessment'!P21)</x:f>
        <x:v>Define critical/high remediation SLAs and verify closure through scanning.</x:v>
      </x:c>
      <x:c r="H21" s="102" t="str">
        <x:f>IF(A21="","",'CSF Profile Assessment'!Q21)</x:f>
        <x:v>Security Manager</x:v>
      </x:c>
      <x:c r="I21" s="138" t="n">
        <x:f>IF(A21="","",IF(ISNUMBER('CSF Profile Assessment'!R21),IF('CSF Profile Assessment'!R21&gt;0,'CSF Profile Assessment'!R21,""),""))</x:f>
        <x:v>46317</x:v>
      </x:c>
      <x:c r="J21" s="102" t="str">
        <x:f>IF(A21="","",'CSF Profile Assessment'!S21)</x:f>
        <x:v>In Progress</x:v>
      </x:c>
      <x:c r="K21" s="102" t="n">
        <x:f>IF(OR(A21="",E21="No",I21=""),"",I21-Methodology!$B$25)</x:f>
        <x:v>19</x:v>
      </x:c>
      <x:c r="L21" s="102" t="str">
        <x:f>IF(A21="","",IF('CSF Profile Assessment'!T21="","",'CSF Profile Assessment'!T21))</x:f>
        <x:v>Monthly patching exists but deadlines and verification are incomplete: Partial (2). Timely remediation with rescans targets In place (4). Impact 3 reflects continued exploitation risk.</x:v>
      </x:c>
      <x:c r="M21" s="102" t="str">
        <x:f>IF(A21="","",IF('CSF Profile Assessment'!U21="","",'CSF Profile Assessment'!U21))</x:f>
        <x:v>Scenario only</x:v>
      </x:c>
      <x:c r="N21" s="102" t="str">
        <x:f>IF(A21="","",IF('CSF Profile Assessment'!V21="","",'CSF Profile Assessment'!V21))</x:f>
        <x:v>Patch reports, risk-based SLAs, tickets, exceptions and authenticated rescans.</x:v>
      </x:c>
      <x:c r="O21" s="139" t="n">
        <x:f>IF(A21="","",IF('CSF Profile Assessment'!W21="","",'CSF Profile Assessment'!W21))</x:f>
        <x:v>46298</x:v>
      </x:c>
      <x:c r="P21" s="102" t="str">
        <x:f>IF(A21="","",IF('CSF Profile Assessment'!X21="","",'CSF Profile Assessment'!X21))</x:f>
      </x:c>
      <x:c r="Q21" s="102" t="str">
        <x:f>IF(A21="","",'CSF Profile Assessment'!Y21)</x:f>
        <x:v>OK</x:v>
      </x:c>
      <x:c r="R21" s="102" t="str">
        <x:f>IF(A21="","",'CSF Profile Assessment'!Z21)</x:f>
        <x:v>Scenario documented</x:v>
      </x:c>
      <x:c r="S21" s="102" t="str">
        <x:f>IF(A21="","",'CSF Profile Assessment'!AA21)</x:f>
        <x:v>R-008, R-025</x:v>
      </x:c>
      <x:c r="T21" s="102" t="str">
        <x:f>IF(A21="","",'CSF Profile Assessment'!AB21)</x:f>
        <x:v>Sample due high-risk patches for timely deployment and clean rescans or approved expiring exceptions.</x:v>
      </x:c>
      <x:c r="U21" s="102" t="str">
        <x:f>IF(A21="","",IF(NOT(ISNUMBER('CSF Profile Assessment'!R21)),"Date needed",IF('CSF Profile Assessment'!R21&lt;=0,"Date needed",IF('CSF Profile Assessment'!S21="Closed","Closed",IF('CSF Profile Assessment'!S21="Accepted",IF('CSF Profile Assessment'!R21&lt;Methodology!$B$25,"Acceptance review due","Accepted - review scheduled"),IF('CSF Profile Assessment'!R21&lt;Methodology!$B$25,"Overdue",IF('CSF Profile Assessment'!R21&lt;=Methodology!$B$25+30,"Due within 30 days","Scheduled")))))))</x:f>
        <x:v>Due within 30 days</x:v>
      </x:c>
    </x:row>
    <x:row r="22" ht="110" customHeight="1">
      <x:c r="A22" s="102" t="str">
        <x:f>IF('CSF Profile Assessment'!A22="","",'CSF Profile Assessment'!A22)</x:f>
        <x:v>GA-018</x:v>
      </x:c>
      <x:c r="B22" s="102" t="str">
        <x:f>IF(A22="","",'CSF Profile Assessment'!B22)</x:f>
        <x:v>Protect</x:v>
      </x:c>
      <x:c r="C22" s="102" t="str">
        <x:f>IF(A22="","",'CSF Profile Assessment'!C22)</x:f>
        <x:v>PR.PS</x:v>
      </x:c>
      <x:c r="D22" s="102" t="str">
        <x:f>IF(A22="","",'CSF Profile Assessment'!M22)</x:f>
        <x:v>Medium</x:v>
      </x:c>
      <x:c r="E22" s="102" t="str">
        <x:f>IF(A22="","",IF(ISNUMBER('CSF Profile Assessment'!L22),IF('CSF Profile Assessment'!J22&gt;0,"Yes","No"),"Not assessed"))</x:f>
        <x:v>Yes</x:v>
      </x:c>
      <x:c r="F22" s="102" t="str">
        <x:f>IF(A22="","",'CSF Profile Assessment'!O22)</x:f>
        <x:v>Exposed credentials or vulnerable packages can reach production workflows.</x:v>
      </x:c>
      <x:c r="G22" s="102" t="str">
        <x:f>IF(A22="","",'CSF Profile Assessment'!P22)</x:f>
        <x:v>Enable secret scanning and software-composition analysis in CI/CD.</x:v>
      </x:c>
      <x:c r="H22" s="102" t="str">
        <x:f>IF(A22="","",'CSF Profile Assessment'!Q22)</x:f>
        <x:v>Application Owner</x:v>
      </x:c>
      <x:c r="I22" s="138" t="n">
        <x:f>IF(A22="","",IF(ISNUMBER('CSF Profile Assessment'!R22),IF('CSF Profile Assessment'!R22&gt;0,'CSF Profile Assessment'!R22,""),""))</x:f>
        <x:v>46332</x:v>
      </x:c>
      <x:c r="J22" s="102" t="str">
        <x:f>IF(A22="","",'CSF Profile Assessment'!S22)</x:f>
        <x:v>In Progress</x:v>
      </x:c>
      <x:c r="K22" s="102" t="n">
        <x:f>IF(OR(A22="",E22="No",I22=""),"",I22-Methodology!$B$25)</x:f>
        <x:v>34</x:v>
      </x:c>
      <x:c r="L22" s="102" t="str">
        <x:f>IF(A22="","",IF('CSF Profile Assessment'!T22="","",'CSF Profile Assessment'!T22))</x:f>
        <x:v>Repository permissions and review provide some control, supporting Partial (2). Automated secret/dependency checks target Mostly (3). Impact 3 reflects credentials or exploitable code entering production.</x:v>
      </x:c>
      <x:c r="M22" s="102" t="str">
        <x:f>IF(A22="","",IF('CSF Profile Assessment'!U22="","",'CSF Profile Assessment'!U22))</x:f>
        <x:v>Scenario only</x:v>
      </x:c>
      <x:c r="N22" s="102" t="str">
        <x:f>IF(A22="","",IF('CSF Profile Assessment'!V22="","",'CSF Profile Assessment'!V22))</x:f>
        <x:v>Repository configuration, secret/dependency scans, CI enforcement and remediation records.</x:v>
      </x:c>
      <x:c r="O22" s="139" t="n">
        <x:f>IF(A22="","",IF('CSF Profile Assessment'!W22="","",'CSF Profile Assessment'!W22))</x:f>
        <x:v>46298</x:v>
      </x:c>
      <x:c r="P22" s="102" t="str">
        <x:f>IF(A22="","",IF('CSF Profile Assessment'!X22="","",'CSF Profile Assessment'!X22))</x:f>
      </x:c>
      <x:c r="Q22" s="102" t="str">
        <x:f>IF(A22="","",'CSF Profile Assessment'!Y22)</x:f>
        <x:v>OK</x:v>
      </x:c>
      <x:c r="R22" s="102" t="str">
        <x:f>IF(A22="","",'CSF Profile Assessment'!Z22)</x:f>
        <x:v>Scenario documented</x:v>
      </x:c>
      <x:c r="S22" s="102" t="str">
        <x:f>IF(A22="","",'CSF Profile Assessment'!AA22)</x:f>
        <x:v>R-009, R-023, R-028</x:v>
      </x:c>
      <x:c r="T22" s="102" t="str">
        <x:f>IF(A22="","",'CSF Profile Assessment'!AB22)</x:f>
        <x:v>Test with a dummy secret and approved vulnerable-package fixture in nonproduction; verify detection and remediation handling.</x:v>
      </x:c>
      <x:c r="U22" s="102" t="str">
        <x:f>IF(A22="","",IF(NOT(ISNUMBER('CSF Profile Assessment'!R22)),"Date needed",IF('CSF Profile Assessment'!R22&lt;=0,"Date needed",IF('CSF Profile Assessment'!S22="Closed","Closed",IF('CSF Profile Assessment'!S22="Accepted",IF('CSF Profile Assessment'!R22&lt;Methodology!$B$25,"Acceptance review due","Accepted - review scheduled"),IF('CSF Profile Assessment'!R22&lt;Methodology!$B$25,"Overdue",IF('CSF Profile Assessment'!R22&lt;=Methodology!$B$25+30,"Due within 30 days","Scheduled")))))))</x:f>
        <x:v>Scheduled</x:v>
      </x:c>
    </x:row>
    <x:row r="23" ht="110" customHeight="1">
      <x:c r="A23" s="102" t="str">
        <x:f>IF('CSF Profile Assessment'!A23="","",'CSF Profile Assessment'!A23)</x:f>
        <x:v>GA-019</x:v>
      </x:c>
      <x:c r="B23" s="102" t="str">
        <x:f>IF(A23="","",'CSF Profile Assessment'!B23)</x:f>
        <x:v>Protect</x:v>
      </x:c>
      <x:c r="C23" s="102" t="str">
        <x:f>IF(A23="","",'CSF Profile Assessment'!C23)</x:f>
        <x:v>PR.IR</x:v>
      </x:c>
      <x:c r="D23" s="102" t="str">
        <x:f>IF(A23="","",'CSF Profile Assessment'!M23)</x:f>
        <x:v>Medium</x:v>
      </x:c>
      <x:c r="E23" s="102" t="str">
        <x:f>IF(A23="","",IF(ISNUMBER('CSF Profile Assessment'!L23),IF('CSF Profile Assessment'!J23&gt;0,"Yes","No"),"Not assessed"))</x:f>
        <x:v>Yes</x:v>
      </x:c>
      <x:c r="F23" s="102" t="str">
        <x:f>IF(A23="","",'CSF Profile Assessment'!O23)</x:f>
        <x:v>A ransomware event could still affect recovery options if isolation is insufficient.</x:v>
      </x:c>
      <x:c r="G23" s="102" t="str">
        <x:f>IF(A23="","",'CSF Profile Assessment'!P23)</x:f>
        <x:v>Complete immutable/offline backup protection and document recurring restore tests.</x:v>
      </x:c>
      <x:c r="H23" s="102" t="str">
        <x:f>IF(A23="","",'CSF Profile Assessment'!Q23)</x:f>
        <x:v>Operations Manager</x:v>
      </x:c>
      <x:c r="I23" s="138" t="n">
        <x:f>IF(A23="","",IF(ISNUMBER('CSF Profile Assessment'!R23),IF('CSF Profile Assessment'!R23&gt;0,'CSF Profile Assessment'!R23,""),""))</x:f>
        <x:v>46317</x:v>
      </x:c>
      <x:c r="J23" s="102" t="str">
        <x:f>IF(A23="","",'CSF Profile Assessment'!S23)</x:f>
        <x:v>In Progress</x:v>
      </x:c>
      <x:c r="K23" s="102" t="n">
        <x:f>IF(OR(A23="",E23="No",I23=""),"",I23-Methodology!$B$25)</x:f>
        <x:v>19</x:v>
      </x:c>
      <x:c r="L23" s="102" t="str">
        <x:f>IF(A23="","",IF('CSF Profile Assessment'!T23="","",'CSF Profile Assessment'!T23))</x:f>
        <x:v>Scheduled backups and some restores support Mostly (3). Isolated copies with recurring verified restores target In place (4). Impact 3 reflects loss of recoverability during ransomware.</x:v>
      </x:c>
      <x:c r="M23" s="102" t="str">
        <x:f>IF(A23="","",IF('CSF Profile Assessment'!U23="","",'CSF Profile Assessment'!U23))</x:f>
        <x:v>Scenario only</x:v>
      </x:c>
      <x:c r="N23" s="102" t="str">
        <x:f>IF(A23="","",IF('CSF Profile Assessment'!V23="","",'CSF Profile Assessment'!V23))</x:f>
        <x:v>Backup job reports, immutability/isolation settings, access separation and restore results.</x:v>
      </x:c>
      <x:c r="O23" s="139" t="n">
        <x:f>IF(A23="","",IF('CSF Profile Assessment'!W23="","",'CSF Profile Assessment'!W23))</x:f>
        <x:v>46298</x:v>
      </x:c>
      <x:c r="P23" s="102" t="str">
        <x:f>IF(A23="","",IF('CSF Profile Assessment'!X23="","",'CSF Profile Assessment'!X23))</x:f>
      </x:c>
      <x:c r="Q23" s="102" t="str">
        <x:f>IF(A23="","",'CSF Profile Assessment'!Y23)</x:f>
        <x:v>OK</x:v>
      </x:c>
      <x:c r="R23" s="102" t="str">
        <x:f>IF(A23="","",'CSF Profile Assessment'!Z23)</x:f>
        <x:v>Scenario documented</x:v>
      </x:c>
      <x:c r="S23" s="102" t="str">
        <x:f>IF(A23="","",'CSF Profile Assessment'!AA23)</x:f>
        <x:v>R-016, R-017, R-024</x:v>
      </x:c>
      <x:c r="T23" s="102" t="str">
        <x:f>IF(A23="","",'CSF Profile Assessment'!AB23)</x:f>
        <x:v>Restore a representative isolated copy and verify it remains protected from production administrator compromise.</x:v>
      </x:c>
      <x:c r="U23" s="102" t="str">
        <x:f>IF(A23="","",IF(NOT(ISNUMBER('CSF Profile Assessment'!R23)),"Date needed",IF('CSF Profile Assessment'!R23&lt;=0,"Date needed",IF('CSF Profile Assessment'!S23="Closed","Closed",IF('CSF Profile Assessment'!S23="Accepted",IF('CSF Profile Assessment'!R23&lt;Methodology!$B$25,"Acceptance review due","Accepted - review scheduled"),IF('CSF Profile Assessment'!R23&lt;Methodology!$B$25,"Overdue",IF('CSF Profile Assessment'!R23&lt;=Methodology!$B$25+30,"Due within 30 days","Scheduled")))))))</x:f>
        <x:v>Due within 30 days</x:v>
      </x:c>
    </x:row>
    <x:row r="24" ht="110" customHeight="1">
      <x:c r="A24" s="102" t="str">
        <x:f>IF('CSF Profile Assessment'!A24="","",'CSF Profile Assessment'!A24)</x:f>
        <x:v>GA-020</x:v>
      </x:c>
      <x:c r="B24" s="102" t="str">
        <x:f>IF(A24="","",'CSF Profile Assessment'!B24)</x:f>
        <x:v>Protect</x:v>
      </x:c>
      <x:c r="C24" s="102" t="str">
        <x:f>IF(A24="","",'CSF Profile Assessment'!C24)</x:f>
        <x:v>PR.IR</x:v>
      </x:c>
      <x:c r="D24" s="102" t="str">
        <x:f>IF(A24="","",'CSF Profile Assessment'!M24)</x:f>
        <x:v>High</x:v>
      </x:c>
      <x:c r="E24" s="102" t="str">
        <x:f>IF(A24="","",IF(ISNUMBER('CSF Profile Assessment'!L24),IF('CSF Profile Assessment'!J24&gt;0,"Yes","No"),"Not assessed"))</x:f>
        <x:v>Yes</x:v>
      </x:c>
      <x:c r="F24" s="102" t="str">
        <x:f>IF(A24="","",'CSF Profile Assessment'!O24)</x:f>
        <x:v>A compromised endpoint could have unnecessary network paths to higher-value systems.</x:v>
      </x:c>
      <x:c r="G24" s="102" t="str">
        <x:f>IF(A24="","",'CSF Profile Assessment'!P24)</x:f>
        <x:v>Segment user, server, administrative, and security zones and validate firewall rules.</x:v>
      </x:c>
      <x:c r="H24" s="102" t="str">
        <x:f>IF(A24="","",'CSF Profile Assessment'!Q24)</x:f>
        <x:v>IT Manager</x:v>
      </x:c>
      <x:c r="I24" s="138" t="n">
        <x:f>IF(A24="","",IF(ISNUMBER('CSF Profile Assessment'!R24),IF('CSF Profile Assessment'!R24&gt;0,'CSF Profile Assessment'!R24,""),""))</x:f>
        <x:v>46392</x:v>
      </x:c>
      <x:c r="J24" s="102" t="str">
        <x:f>IF(A24="","",'CSF Profile Assessment'!S24)</x:f>
        <x:v>Planned</x:v>
      </x:c>
      <x:c r="K24" s="102" t="n">
        <x:f>IF(OR(A24="",E24="No",I24=""),"",I24-Methodology!$B$25)</x:f>
        <x:v>94</x:v>
      </x:c>
      <x:c r="L24" s="102" t="str">
        <x:f>IF(A24="","",IF('CSF Profile Assessment'!T24="","",'CSF Profile Assessment'!T24))</x:f>
        <x:v>Perimeter controls exist but internal segmentation is limited, supporting Ad hoc (1). Defined zones and tested rules target Mostly (3). Impact 3 reflects lateral movement into high-value systems.</x:v>
      </x:c>
      <x:c r="M24" s="102" t="str">
        <x:f>IF(A24="","",IF('CSF Profile Assessment'!U24="","",'CSF Profile Assessment'!U24))</x:f>
        <x:v>Scenario only</x:v>
      </x:c>
      <x:c r="N24" s="102" t="str">
        <x:f>IF(A24="","",IF('CSF Profile Assessment'!V24="","",'CSF Profile Assessment'!V24))</x:f>
        <x:v>Network zones, permitted flows, firewall rules and reachability test results.</x:v>
      </x:c>
      <x:c r="O24" s="139" t="n">
        <x:f>IF(A24="","",IF('CSF Profile Assessment'!W24="","",'CSF Profile Assessment'!W24))</x:f>
        <x:v>46298</x:v>
      </x:c>
      <x:c r="P24" s="102" t="str">
        <x:f>IF(A24="","",IF('CSF Profile Assessment'!X24="","",'CSF Profile Assessment'!X24))</x:f>
      </x:c>
      <x:c r="Q24" s="102" t="str">
        <x:f>IF(A24="","",'CSF Profile Assessment'!Y24)</x:f>
        <x:v>OK</x:v>
      </x:c>
      <x:c r="R24" s="102" t="str">
        <x:f>IF(A24="","",'CSF Profile Assessment'!Z24)</x:f>
        <x:v>Scenario documented</x:v>
      </x:c>
      <x:c r="S24" s="102" t="str">
        <x:f>IF(A24="","",'CSF Profile Assessment'!AA24)</x:f>
        <x:v>R-004, R-019, R-020</x:v>
      </x:c>
      <x:c r="T24" s="102" t="str">
        <x:f>IF(A24="","",'CSF Profile Assessment'!AB24)</x:f>
        <x:v>Test allowed and denied connections between sensitivity zones and remove unjustified administrative paths.</x:v>
      </x:c>
      <x:c r="U24" s="102" t="str">
        <x:f>IF(A24="","",IF(NOT(ISNUMBER('CSF Profile Assessment'!R24)),"Date needed",IF('CSF Profile Assessment'!R24&lt;=0,"Date needed",IF('CSF Profile Assessment'!S24="Closed","Closed",IF('CSF Profile Assessment'!S24="Accepted",IF('CSF Profile Assessment'!R24&lt;Methodology!$B$25,"Acceptance review due","Accepted - review scheduled"),IF('CSF Profile Assessment'!R24&lt;Methodology!$B$25,"Overdue",IF('CSF Profile Assessment'!R24&lt;=Methodology!$B$25+30,"Due within 30 days","Scheduled")))))))</x:f>
        <x:v>Scheduled</x:v>
      </x:c>
    </x:row>
    <x:row r="25" ht="110" customHeight="1">
      <x:c r="A25" s="102" t="str">
        <x:f>IF('CSF Profile Assessment'!A25="","",'CSF Profile Assessment'!A25)</x:f>
        <x:v>GA-021</x:v>
      </x:c>
      <x:c r="B25" s="102" t="str">
        <x:f>IF(A25="","",'CSF Profile Assessment'!B25)</x:f>
        <x:v>Detect</x:v>
      </x:c>
      <x:c r="C25" s="102" t="str">
        <x:f>IF(A25="","",'CSF Profile Assessment'!C25)</x:f>
        <x:v>DE.CM</x:v>
      </x:c>
      <x:c r="D25" s="102" t="str">
        <x:f>IF(A25="","",'CSF Profile Assessment'!M25)</x:f>
        <x:v>High</x:v>
      </x:c>
      <x:c r="E25" s="102" t="str">
        <x:f>IF(A25="","",IF(ISNUMBER('CSF Profile Assessment'!L25),IF('CSF Profile Assessment'!J25&gt;0,"Yes","No"),"Not assessed"))</x:f>
        <x:v>Yes</x:v>
      </x:c>
      <x:c r="F25" s="102" t="str">
        <x:f>IF(A25="","",'CSF Profile Assessment'!O25)</x:f>
        <x:v>Investigation and detection coverage are inconsistent across log sources.</x:v>
      </x:c>
      <x:c r="G25" s="102" t="str">
        <x:f>IF(A25="","",'CSF Profile Assessment'!P25)</x:f>
        <x:v>Centralize priority log sources and define minimum retention.</x:v>
      </x:c>
      <x:c r="H25" s="102" t="str">
        <x:f>IF(A25="","",'CSF Profile Assessment'!Q25)</x:f>
        <x:v>Security Manager</x:v>
      </x:c>
      <x:c r="I25" s="138" t="n">
        <x:f>IF(A25="","",IF(ISNUMBER('CSF Profile Assessment'!R25),IF('CSF Profile Assessment'!R25&gt;0,'CSF Profile Assessment'!R25,""),""))</x:f>
        <x:v>46317</x:v>
      </x:c>
      <x:c r="J25" s="102" t="str">
        <x:f>IF(A25="","",'CSF Profile Assessment'!S25)</x:f>
        <x:v>In Progress</x:v>
      </x:c>
      <x:c r="K25" s="102" t="n">
        <x:f>IF(OR(A25="",E25="No",I25=""),"",I25-Methodology!$B$25)</x:f>
        <x:v>19</x:v>
      </x:c>
      <x:c r="L25" s="102" t="str">
        <x:f>IF(A25="","",IF('CSF Profile Assessment'!T25="","",'CSF Profile Assessment'!T25))</x:f>
        <x:v>Native logs exist but central collection is incomplete: Partial (2). Complete priority-source collection targets In place (4). Impact 3 reflects missed detections and weak investigations.</x:v>
      </x:c>
      <x:c r="M25" s="102" t="str">
        <x:f>IF(A25="","",IF('CSF Profile Assessment'!U25="","",'CSF Profile Assessment'!U25))</x:f>
        <x:v>Scenario only</x:v>
      </x:c>
      <x:c r="N25" s="102" t="str">
        <x:f>IF(A25="","",IF('CSF Profile Assessment'!V25="","",'CSF Profile Assessment'!V25))</x:f>
        <x:v>Log-source register, collection settings, ingestion health and test-event records.</x:v>
      </x:c>
      <x:c r="O25" s="139" t="n">
        <x:f>IF(A25="","",IF('CSF Profile Assessment'!W25="","",'CSF Profile Assessment'!W25))</x:f>
        <x:v>46298</x:v>
      </x:c>
      <x:c r="P25" s="102" t="str">
        <x:f>IF(A25="","",IF('CSF Profile Assessment'!X25="","",'CSF Profile Assessment'!X25))</x:f>
      </x:c>
      <x:c r="Q25" s="102" t="str">
        <x:f>IF(A25="","",'CSF Profile Assessment'!Y25)</x:f>
        <x:v>OK</x:v>
      </x:c>
      <x:c r="R25" s="102" t="str">
        <x:f>IF(A25="","",'CSF Profile Assessment'!Z25)</x:f>
        <x:v>Scenario documented</x:v>
      </x:c>
      <x:c r="S25" s="102" t="str">
        <x:f>IF(A25="","",'CSF Profile Assessment'!AA25)</x:f>
        <x:v>R-010, R-014, R-026</x:v>
      </x:c>
      <x:c r="T25" s="102" t="str">
        <x:f>IF(A25="","",'CSF Profile Assessment'!AB25)</x:f>
        <x:v>Generate authorized events in each priority source and confirm timely arrival, searchable fields and restricted access.</x:v>
      </x:c>
      <x:c r="U25" s="102" t="str">
        <x:f>IF(A25="","",IF(NOT(ISNUMBER('CSF Profile Assessment'!R25)),"Date needed",IF('CSF Profile Assessment'!R25&lt;=0,"Date needed",IF('CSF Profile Assessment'!S25="Closed","Closed",IF('CSF Profile Assessment'!S25="Accepted",IF('CSF Profile Assessment'!R25&lt;Methodology!$B$25,"Acceptance review due","Accepted - review scheduled"),IF('CSF Profile Assessment'!R25&lt;Methodology!$B$25,"Overdue",IF('CSF Profile Assessment'!R25&lt;=Methodology!$B$25+30,"Due within 30 days","Scheduled")))))))</x:f>
        <x:v>Due within 30 days</x:v>
      </x:c>
    </x:row>
    <x:row r="26" ht="110" customHeight="1">
      <x:c r="A26" s="102" t="str">
        <x:f>IF('CSF Profile Assessment'!A26="","",'CSF Profile Assessment'!A26)</x:f>
        <x:v>GA-022</x:v>
      </x:c>
      <x:c r="B26" s="102" t="str">
        <x:f>IF(A26="","",'CSF Profile Assessment'!B26)</x:f>
        <x:v>Detect</x:v>
      </x:c>
      <x:c r="C26" s="102" t="str">
        <x:f>IF(A26="","",'CSF Profile Assessment'!C26)</x:f>
        <x:v>DE.CM</x:v>
      </x:c>
      <x:c r="D26" s="102" t="str">
        <x:f>IF(A26="","",'CSF Profile Assessment'!M26)</x:f>
        <x:v>High</x:v>
      </x:c>
      <x:c r="E26" s="102" t="str">
        <x:f>IF(A26="","",IF(ISNUMBER('CSF Profile Assessment'!L26),IF('CSF Profile Assessment'!J26&gt;0,"Yes","No"),"Not assessed"))</x:f>
        <x:v>Yes</x:v>
      </x:c>
      <x:c r="F26" s="102" t="str">
        <x:f>IF(A26="","",'CSF Profile Assessment'!O26)</x:f>
        <x:v>Important account, endpoint, or cloud activity may not generate timely alerts.</x:v>
      </x:c>
      <x:c r="G26" s="102" t="str">
        <x:f>IF(A26="","",'CSF Profile Assessment'!P26)</x:f>
        <x:v>Define a small set of high-value detections for privileged access, malware, public exposure, and suspicious admin activity.</x:v>
      </x:c>
      <x:c r="H26" s="102" t="str">
        <x:f>IF(A26="","",'CSF Profile Assessment'!Q26)</x:f>
        <x:v>Security Manager</x:v>
      </x:c>
      <x:c r="I26" s="138" t="n">
        <x:f>IF(A26="","",IF(ISNUMBER('CSF Profile Assessment'!R26),IF('CSF Profile Assessment'!R26&gt;0,'CSF Profile Assessment'!R26,""),""))</x:f>
        <x:v>46347</x:v>
      </x:c>
      <x:c r="J26" s="102" t="str">
        <x:f>IF(A26="","",'CSF Profile Assessment'!S26)</x:f>
        <x:v>Planned</x:v>
      </x:c>
      <x:c r="K26" s="102" t="n">
        <x:f>IF(OR(A26="",E26="No",I26=""),"",I26-Methodology!$B$25)</x:f>
        <x:v>49</x:v>
      </x:c>
      <x:c r="L26" s="102" t="str">
        <x:f>IF(A26="","",IF('CSF Profile Assessment'!T26="","",'CSF Profile Assessment'!T26))</x:f>
        <x:v>Native alerts and manual review are not a maintained detection program, supporting Ad hoc (1). A tested set of priority detections targets Mostly (3). Impact 3 reflects undetected harmful activity.</x:v>
      </x:c>
      <x:c r="M26" s="102" t="str">
        <x:f>IF(A26="","",IF('CSF Profile Assessment'!U26="","",'CSF Profile Assessment'!U26))</x:f>
        <x:v>Scenario only</x:v>
      </x:c>
      <x:c r="N26" s="102" t="str">
        <x:f>IF(A26="","",IF('CSF Profile Assessment'!V26="","",'CSF Profile Assessment'!V26))</x:f>
        <x:v>Detection inventory, alert rules, test cases, routing and response tickets.</x:v>
      </x:c>
      <x:c r="O26" s="139" t="n">
        <x:f>IF(A26="","",IF('CSF Profile Assessment'!W26="","",'CSF Profile Assessment'!W26))</x:f>
        <x:v>46298</x:v>
      </x:c>
      <x:c r="P26" s="102" t="str">
        <x:f>IF(A26="","",IF('CSF Profile Assessment'!X26="","",'CSF Profile Assessment'!X26))</x:f>
      </x:c>
      <x:c r="Q26" s="102" t="str">
        <x:f>IF(A26="","",'CSF Profile Assessment'!Y26)</x:f>
        <x:v>OK</x:v>
      </x:c>
      <x:c r="R26" s="102" t="str">
        <x:f>IF(A26="","",'CSF Profile Assessment'!Z26)</x:f>
        <x:v>Scenario documented</x:v>
      </x:c>
      <x:c r="S26" s="102" t="str">
        <x:f>IF(A26="","",'CSF Profile Assessment'!AA26)</x:f>
        <x:v>R-001, R-004, R-005, R-006, R-014, R-018, R-023, R-028</x:v>
      </x:c>
      <x:c r="T26" s="102" t="str">
        <x:f>IF(A26="","",'CSF Profile Assessment'!AB26)</x:f>
        <x:v>Test privileged-access, malware and exposure detections; verify the assigned responder receives and handles each alert.</x:v>
      </x:c>
      <x:c r="U26" s="102" t="str">
        <x:f>IF(A26="","",IF(NOT(ISNUMBER('CSF Profile Assessment'!R26)),"Date needed",IF('CSF Profile Assessment'!R26&lt;=0,"Date needed",IF('CSF Profile Assessment'!S26="Closed","Closed",IF('CSF Profile Assessment'!S26="Accepted",IF('CSF Profile Assessment'!R26&lt;Methodology!$B$25,"Acceptance review due","Accepted - review scheduled"),IF('CSF Profile Assessment'!R26&lt;Methodology!$B$25,"Overdue",IF('CSF Profile Assessment'!R26&lt;=Methodology!$B$25+30,"Due within 30 days","Scheduled")))))))</x:f>
        <x:v>Scheduled</x:v>
      </x:c>
    </x:row>
    <x:row r="27" ht="110" customHeight="1">
      <x:c r="A27" s="102" t="str">
        <x:f>IF('CSF Profile Assessment'!A27="","",'CSF Profile Assessment'!A27)</x:f>
        <x:v>GA-023</x:v>
      </x:c>
      <x:c r="B27" s="102" t="str">
        <x:f>IF(A27="","",'CSF Profile Assessment'!B27)</x:f>
        <x:v>Detect</x:v>
      </x:c>
      <x:c r="C27" s="102" t="str">
        <x:f>IF(A27="","",'CSF Profile Assessment'!C27)</x:f>
        <x:v>DE.AE</x:v>
      </x:c>
      <x:c r="D27" s="102" t="str">
        <x:f>IF(A27="","",'CSF Profile Assessment'!M27)</x:f>
        <x:v>Low</x:v>
      </x:c>
      <x:c r="E27" s="102" t="str">
        <x:f>IF(A27="","",IF(ISNUMBER('CSF Profile Assessment'!L27),IF('CSF Profile Assessment'!J27&gt;0,"Yes","No"),"Not assessed"))</x:f>
        <x:v>Yes</x:v>
      </x:c>
      <x:c r="F27" s="102" t="str">
        <x:f>IF(A27="","",'CSF Profile Assessment'!O27)</x:f>
        <x:v>Different analysts or teams could prioritize similar alerts differently.</x:v>
      </x:c>
      <x:c r="G27" s="102" t="str">
        <x:f>IF(A27="","",'CSF Profile Assessment'!P27)</x:f>
        <x:v>Create an alert-triage checklist and severity matrix.</x:v>
      </x:c>
      <x:c r="H27" s="102" t="str">
        <x:f>IF(A27="","",'CSF Profile Assessment'!Q27)</x:f>
        <x:v>Security Manager</x:v>
      </x:c>
      <x:c r="I27" s="138" t="n">
        <x:f>IF(A27="","",IF(ISNUMBER('CSF Profile Assessment'!R27),IF('CSF Profile Assessment'!R27&gt;0,'CSF Profile Assessment'!R27,""),""))</x:f>
        <x:v>46362</x:v>
      </x:c>
      <x:c r="J27" s="102" t="str">
        <x:f>IF(A27="","",'CSF Profile Assessment'!S27)</x:f>
        <x:v>Planned</x:v>
      </x:c>
      <x:c r="K27" s="102" t="n">
        <x:f>IF(OR(A27="",E27="No",I27=""),"",I27-Methodology!$B$25)</x:f>
        <x:v>64</x:v>
      </x:c>
      <x:c r="L27" s="102" t="str">
        <x:f>IF(A27="","",IF('CSF Profile Assessment'!T27="","",'CSF Profile Assessment'!T27))</x:f>
        <x:v>Investigations occur but triage criteria are informal: Partial (2). Repeatable severity/context checks target Mostly (3). Impact 2 reflects inconsistent escalation and wasted response time.</x:v>
      </x:c>
      <x:c r="M27" s="102" t="str">
        <x:f>IF(A27="","",IF('CSF Profile Assessment'!U27="","",'CSF Profile Assessment'!U27))</x:f>
        <x:v>Scenario only</x:v>
      </x:c>
      <x:c r="N27" s="102" t="str">
        <x:f>IF(A27="","",IF('CSF Profile Assessment'!V27="","",'CSF Profile Assessment'!V27))</x:f>
        <x:v>Triage checklist, severity matrix, example alerts and escalation tickets.</x:v>
      </x:c>
      <x:c r="O27" s="139" t="n">
        <x:f>IF(A27="","",IF('CSF Profile Assessment'!W27="","",'CSF Profile Assessment'!W27))</x:f>
        <x:v>46298</x:v>
      </x:c>
      <x:c r="P27" s="102" t="str">
        <x:f>IF(A27="","",IF('CSF Profile Assessment'!X27="","",'CSF Profile Assessment'!X27))</x:f>
      </x:c>
      <x:c r="Q27" s="102" t="str">
        <x:f>IF(A27="","",'CSF Profile Assessment'!Y27)</x:f>
        <x:v>OK</x:v>
      </x:c>
      <x:c r="R27" s="102" t="str">
        <x:f>IF(A27="","",'CSF Profile Assessment'!Z27)</x:f>
        <x:v>Scenario documented</x:v>
      </x:c>
      <x:c r="S27" s="102" t="str">
        <x:f>IF(A27="","",'CSF Profile Assessment'!AA27)</x:f>
        <x:v>R-014</x:v>
      </x:c>
      <x:c r="T27" s="102" t="str">
        <x:f>IF(A27="","",'CSF Profile Assessment'!AB27)</x:f>
        <x:v>Have reviewers classify representative alerts using the same criteria and resolve material disagreements.</x:v>
      </x:c>
      <x:c r="U27" s="102" t="str">
        <x:f>IF(A27="","",IF(NOT(ISNUMBER('CSF Profile Assessment'!R27)),"Date needed",IF('CSF Profile Assessment'!R27&lt;=0,"Date needed",IF('CSF Profile Assessment'!S27="Closed","Closed",IF('CSF Profile Assessment'!S27="Accepted",IF('CSF Profile Assessment'!R27&lt;Methodology!$B$25,"Acceptance review due","Accepted - review scheduled"),IF('CSF Profile Assessment'!R27&lt;Methodology!$B$25,"Overdue",IF('CSF Profile Assessment'!R27&lt;=Methodology!$B$25+30,"Due within 30 days","Scheduled")))))))</x:f>
        <x:v>Scheduled</x:v>
      </x:c>
    </x:row>
    <x:row r="28" ht="110" customHeight="1">
      <x:c r="A28" s="102" t="str">
        <x:f>IF('CSF Profile Assessment'!A28="","",'CSF Profile Assessment'!A28)</x:f>
        <x:v>GA-024</x:v>
      </x:c>
      <x:c r="B28" s="102" t="str">
        <x:f>IF(A28="","",'CSF Profile Assessment'!B28)</x:f>
        <x:v>Detect</x:v>
      </x:c>
      <x:c r="C28" s="102" t="str">
        <x:f>IF(A28="","",'CSF Profile Assessment'!C28)</x:f>
        <x:v>DE.CM</x:v>
      </x:c>
      <x:c r="D28" s="102" t="str">
        <x:f>IF(A28="","",'CSF Profile Assessment'!M28)</x:f>
        <x:v>No Gap</x:v>
      </x:c>
      <x:c r="E28" s="102" t="str">
        <x:f>IF(A28="","",IF(ISNUMBER('CSF Profile Assessment'!L28),IF('CSF Profile Assessment'!J28&gt;0,"Yes","No"),"Not assessed"))</x:f>
        <x:v>No</x:v>
      </x:c>
      <x:c r="F28" s="102" t="str">
        <x:f>IF(A28="","",'CSF Profile Assessment'!O28)</x:f>
        <x:v>No material gap noted.</x:v>
      </x:c>
      <x:c r="G28" s="102" t="str">
        <x:f>IF(A28="","",'CSF Profile Assessment'!P28)</x:f>
        <x:v>Maintain configuration and validate during periodic logging reviews.</x:v>
      </x:c>
      <x:c r="H28" s="102" t="str">
        <x:f>IF(A28="","",'CSF Profile Assessment'!Q28)</x:f>
        <x:v>Security Manager</x:v>
      </x:c>
      <x:c r="I28" s="138" t="n">
        <x:f>IF(A28="","",IF(ISNUMBER('CSF Profile Assessment'!R28),IF('CSF Profile Assessment'!R28&gt;0,'CSF Profile Assessment'!R28,""),""))</x:f>
        <x:v>46452</x:v>
      </x:c>
      <x:c r="J28" s="102" t="str">
        <x:f>IF(A28="","",'CSF Profile Assessment'!S28)</x:f>
        <x:v>Monitor</x:v>
      </x:c>
      <x:c r="K28" s="102" t="str">
        <x:f>IF(OR(A28="",E28="No",I28=""),"",I28-Methodology!$B$25)</x:f>
      </x:c>
      <x:c r="L28" s="102" t="str">
        <x:f>IF(A28="","",IF('CSF Profile Assessment'!T28="","",'CSF Profile Assessment'!T28))</x:f>
        <x:v>The scenario assumes local retention periods and time synchronization are configured: In place (4), matching target. Impact 2 reflects investigation quality. This does not establish central collection or tamper protection.</x:v>
      </x:c>
      <x:c r="M28" s="102" t="str">
        <x:f>IF(A28="","",IF('CSF Profile Assessment'!U28="","",'CSF Profile Assessment'!U28))</x:f>
        <x:v>Scenario only</x:v>
      </x:c>
      <x:c r="N28" s="102" t="str">
        <x:f>IF(A28="","",IF('CSF Profile Assessment'!V28="","",'CSF Profile Assessment'!V28))</x:f>
        <x:v>Time-source settings, clock-drift checks, local retention configuration and sample event timestamps.</x:v>
      </x:c>
      <x:c r="O28" s="139" t="n">
        <x:f>IF(A28="","",IF('CSF Profile Assessment'!W28="","",'CSF Profile Assessment'!W28))</x:f>
        <x:v>46298</x:v>
      </x:c>
      <x:c r="P28" s="102" t="str">
        <x:f>IF(A28="","",IF('CSF Profile Assessment'!X28="","",'CSF Profile Assessment'!X28))</x:f>
      </x:c>
      <x:c r="Q28" s="102" t="str">
        <x:f>IF(A28="","",'CSF Profile Assessment'!Y28)</x:f>
        <x:v>OK</x:v>
      </x:c>
      <x:c r="R28" s="102" t="str">
        <x:f>IF(A28="","",'CSF Profile Assessment'!Z28)</x:f>
        <x:v>Scenario documented</x:v>
      </x:c>
      <x:c r="S28" s="102" t="str">
        <x:f>IF(A28="","",'CSF Profile Assessment'!AA28)</x:f>
        <x:v>R-026</x:v>
      </x:c>
      <x:c r="T28" s="102" t="str">
        <x:f>IF(A28="","",'CSF Profile Assessment'!AB28)</x:f>
        <x:v>Check time consistency and required retention on sampled critical sources; assess central forwarding and tamper protection separately.</x:v>
      </x:c>
      <x:c r="U28" s="102" t="str">
        <x:f>IF(A28="","",IF(NOT(ISNUMBER('CSF Profile Assessment'!R28)),"Date needed",IF('CSF Profile Assessment'!R28&lt;=0,"Date needed",IF('CSF Profile Assessment'!S28="Closed","Closed",IF('CSF Profile Assessment'!S28="Accepted",IF('CSF Profile Assessment'!R28&lt;Methodology!$B$25,"Acceptance review due","Accepted - review scheduled"),IF('CSF Profile Assessment'!R28&lt;Methodology!$B$25,"Overdue",IF('CSF Profile Assessment'!R28&lt;=Methodology!$B$25+30,"Due within 30 days","Scheduled")))))))</x:f>
        <x:v>Scheduled</x:v>
      </x:c>
    </x:row>
    <x:row r="29" ht="110" customHeight="1">
      <x:c r="A29" s="102" t="str">
        <x:f>IF('CSF Profile Assessment'!A29="","",'CSF Profile Assessment'!A29)</x:f>
        <x:v>GA-025</x:v>
      </x:c>
      <x:c r="B29" s="102" t="str">
        <x:f>IF(A29="","",'CSF Profile Assessment'!B29)</x:f>
        <x:v>Respond</x:v>
      </x:c>
      <x:c r="C29" s="102" t="str">
        <x:f>IF(A29="","",'CSF Profile Assessment'!C29)</x:f>
        <x:v>RS.MA</x:v>
      </x:c>
      <x:c r="D29" s="102" t="str">
        <x:f>IF(A29="","",'CSF Profile Assessment'!M29)</x:f>
        <x:v>Medium</x:v>
      </x:c>
      <x:c r="E29" s="102" t="str">
        <x:f>IF(A29="","",IF(ISNUMBER('CSF Profile Assessment'!L29),IF('CSF Profile Assessment'!J29&gt;0,"Yes","No"),"Not assessed"))</x:f>
        <x:v>Yes</x:v>
      </x:c>
      <x:c r="F29" s="102" t="str">
        <x:f>IF(A29="","",'CSF Profile Assessment'!O29)</x:f>
        <x:v>Response decisions could be inconsistent during a major incident.</x:v>
      </x:c>
      <x:c r="G29" s="102" t="str">
        <x:f>IF(A29="","",'CSF Profile Assessment'!P29)</x:f>
        <x:v>Complete and approve the incident-response plan with roles and severity criteria.</x:v>
      </x:c>
      <x:c r="H29" s="102" t="str">
        <x:f>IF(A29="","",'CSF Profile Assessment'!Q29)</x:f>
        <x:v>Security Manager</x:v>
      </x:c>
      <x:c r="I29" s="138" t="n">
        <x:f>IF(A29="","",IF(ISNUMBER('CSF Profile Assessment'!R29),IF('CSF Profile Assessment'!R29&gt;0,'CSF Profile Assessment'!R29,""),""))</x:f>
        <x:v>46332</x:v>
      </x:c>
      <x:c r="J29" s="102" t="str">
        <x:f>IF(A29="","",'CSF Profile Assessment'!S29)</x:f>
        <x:v>In Progress</x:v>
      </x:c>
      <x:c r="K29" s="102" t="n">
        <x:f>IF(OR(A29="",E29="No",I29=""),"",I29-Methodology!$B$25)</x:f>
        <x:v>34</x:v>
      </x:c>
      <x:c r="L29" s="102" t="str">
        <x:f>IF(A29="","",IF('CSF Profile Assessment'!T29="","",'CSF Profile Assessment'!T29))</x:f>
        <x:v>Contacts and response knowledge exist but the plan is incomplete: Partial (2). Approved roles, severity and escalation target Mostly (3). Impact 3 reflects decision delays in serious incidents.</x:v>
      </x:c>
      <x:c r="M29" s="102" t="str">
        <x:f>IF(A29="","",IF('CSF Profile Assessment'!U29="","",'CSF Profile Assessment'!U29))</x:f>
        <x:v>Scenario only</x:v>
      </x:c>
      <x:c r="N29" s="102" t="str">
        <x:f>IF(A29="","",IF('CSF Profile Assessment'!V29="","",'CSF Profile Assessment'!V29))</x:f>
        <x:v>Incident plan, approval, role roster, severity definitions and escalation contacts.</x:v>
      </x:c>
      <x:c r="O29" s="139" t="n">
        <x:f>IF(A29="","",IF('CSF Profile Assessment'!W29="","",'CSF Profile Assessment'!W29))</x:f>
        <x:v>46298</x:v>
      </x:c>
      <x:c r="P29" s="102" t="str">
        <x:f>IF(A29="","",IF('CSF Profile Assessment'!X29="","",'CSF Profile Assessment'!X29))</x:f>
      </x:c>
      <x:c r="Q29" s="102" t="str">
        <x:f>IF(A29="","",'CSF Profile Assessment'!Y29)</x:f>
        <x:v>OK</x:v>
      </x:c>
      <x:c r="R29" s="102" t="str">
        <x:f>IF(A29="","",'CSF Profile Assessment'!Z29)</x:f>
        <x:v>Scenario documented</x:v>
      </x:c>
      <x:c r="S29" s="102" t="str">
        <x:f>IF(A29="","",'CSF Profile Assessment'!AA29)</x:f>
        <x:v>R-015</x:v>
      </x:c>
      <x:c r="T29" s="102" t="str">
        <x:f>IF(A29="","",'CSF Profile Assessment'!AB29)</x:f>
        <x:v>Walk through a major incident and verify authority, handoffs and escalation steps are usable and current.</x:v>
      </x:c>
      <x:c r="U29" s="102" t="str">
        <x:f>IF(A29="","",IF(NOT(ISNUMBER('CSF Profile Assessment'!R29)),"Date needed",IF('CSF Profile Assessment'!R29&lt;=0,"Date needed",IF('CSF Profile Assessment'!S29="Closed","Closed",IF('CSF Profile Assessment'!S29="Accepted",IF('CSF Profile Assessment'!R29&lt;Methodology!$B$25,"Acceptance review due","Accepted - review scheduled"),IF('CSF Profile Assessment'!R29&lt;Methodology!$B$25,"Overdue",IF('CSF Profile Assessment'!R29&lt;=Methodology!$B$25+30,"Due within 30 days","Scheduled")))))))</x:f>
        <x:v>Scheduled</x:v>
      </x:c>
    </x:row>
    <x:row r="30" ht="110" customHeight="1">
      <x:c r="A30" s="102" t="str">
        <x:f>IF('CSF Profile Assessment'!A30="","",'CSF Profile Assessment'!A30)</x:f>
        <x:v>GA-026</x:v>
      </x:c>
      <x:c r="B30" s="102" t="str">
        <x:f>IF(A30="","",'CSF Profile Assessment'!B30)</x:f>
        <x:v>Respond</x:v>
      </x:c>
      <x:c r="C30" s="102" t="str">
        <x:f>IF(A30="","",'CSF Profile Assessment'!C30)</x:f>
        <x:v>RS.MA</x:v>
      </x:c>
      <x:c r="D30" s="102" t="str">
        <x:f>IF(A30="","",'CSF Profile Assessment'!M30)</x:f>
        <x:v>High</x:v>
      </x:c>
      <x:c r="E30" s="102" t="str">
        <x:f>IF(A30="","",IF(ISNUMBER('CSF Profile Assessment'!L30),IF('CSF Profile Assessment'!J30&gt;0,"Yes","No"),"Not assessed"))</x:f>
        <x:v>Yes</x:v>
      </x:c>
      <x:c r="F30" s="102" t="str">
        <x:f>IF(A30="","",'CSF Profile Assessment'!O30)</x:f>
        <x:v>The organization has limited evidence that the response plan works under pressure.</x:v>
      </x:c>
      <x:c r="G30" s="102" t="str">
        <x:f>IF(A30="","",'CSF Profile Assessment'!P30)</x:f>
        <x:v>Run a tabletop exercise and track corrective actions to closure.</x:v>
      </x:c>
      <x:c r="H30" s="102" t="str">
        <x:f>IF(A30="","",'CSF Profile Assessment'!Q30)</x:f>
        <x:v>Security Manager</x:v>
      </x:c>
      <x:c r="I30" s="138" t="n">
        <x:f>IF(A30="","",IF(ISNUMBER('CSF Profile Assessment'!R30),IF('CSF Profile Assessment'!R30&gt;0,'CSF Profile Assessment'!R30,""),""))</x:f>
        <x:v>46362</x:v>
      </x:c>
      <x:c r="J30" s="102" t="str">
        <x:f>IF(A30="","",'CSF Profile Assessment'!S30)</x:f>
        <x:v>Planned</x:v>
      </x:c>
      <x:c r="K30" s="102" t="n">
        <x:f>IF(OR(A30="",E30="No",I30=""),"",I30-Methodology!$B$25)</x:f>
        <x:v>64</x:v>
      </x:c>
      <x:c r="L30" s="102" t="str">
        <x:f>IF(A30="","",IF('CSF Profile Assessment'!T30="","",'CSF Profile Assessment'!T30))</x:f>
        <x:v>Without a recurring exercise cadence, response validation is Ad hoc (1). A scheduled exercise with tracked corrections targets Mostly (3). Impact 3 reflects untested response under pressure.</x:v>
      </x:c>
      <x:c r="M30" s="102" t="str">
        <x:f>IF(A30="","",IF('CSF Profile Assessment'!U30="","",'CSF Profile Assessment'!U30))</x:f>
        <x:v>Scenario only</x:v>
      </x:c>
      <x:c r="N30" s="102" t="str">
        <x:f>IF(A30="","",IF('CSF Profile Assessment'!V30="","",'CSF Profile Assessment'!V30))</x:f>
        <x:v>Exercise schedule, scenario, attendee roles, decision log and corrective-action tracker.</x:v>
      </x:c>
      <x:c r="O30" s="139" t="n">
        <x:f>IF(A30="","",IF('CSF Profile Assessment'!W30="","",'CSF Profile Assessment'!W30))</x:f>
        <x:v>46298</x:v>
      </x:c>
      <x:c r="P30" s="102" t="str">
        <x:f>IF(A30="","",IF('CSF Profile Assessment'!X30="","",'CSF Profile Assessment'!X30))</x:f>
      </x:c>
      <x:c r="Q30" s="102" t="str">
        <x:f>IF(A30="","",'CSF Profile Assessment'!Y30)</x:f>
        <x:v>OK</x:v>
      </x:c>
      <x:c r="R30" s="102" t="str">
        <x:f>IF(A30="","",'CSF Profile Assessment'!Z30)</x:f>
        <x:v>Scenario documented</x:v>
      </x:c>
      <x:c r="S30" s="102" t="str">
        <x:f>IF(A30="","",'CSF Profile Assessment'!AA30)</x:f>
        <x:v>R-015</x:v>
      </x:c>
      <x:c r="T30" s="102" t="str">
        <x:f>IF(A30="","",'CSF Profile Assessment'!AB30)</x:f>
        <x:v>Run a tabletop, capture decisions and assign findings; retest important corrections rather than closing them on description alone.</x:v>
      </x:c>
      <x:c r="U30" s="102" t="str">
        <x:f>IF(A30="","",IF(NOT(ISNUMBER('CSF Profile Assessment'!R30)),"Date needed",IF('CSF Profile Assessment'!R30&lt;=0,"Date needed",IF('CSF Profile Assessment'!S30="Closed","Closed",IF('CSF Profile Assessment'!S30="Accepted",IF('CSF Profile Assessment'!R30&lt;Methodology!$B$25,"Acceptance review due","Accepted - review scheduled"),IF('CSF Profile Assessment'!R30&lt;Methodology!$B$25,"Overdue",IF('CSF Profile Assessment'!R30&lt;=Methodology!$B$25+30,"Due within 30 days","Scheduled")))))))</x:f>
        <x:v>Scheduled</x:v>
      </x:c>
    </x:row>
    <x:row r="31" ht="110" customHeight="1">
      <x:c r="A31" s="102" t="str">
        <x:f>IF('CSF Profile Assessment'!A31="","",'CSF Profile Assessment'!A31)</x:f>
        <x:v>GA-027</x:v>
      </x:c>
      <x:c r="B31" s="102" t="str">
        <x:f>IF(A31="","",'CSF Profile Assessment'!B31)</x:f>
        <x:v>Respond</x:v>
      </x:c>
      <x:c r="C31" s="102" t="str">
        <x:f>IF(A31="","",'CSF Profile Assessment'!C31)</x:f>
        <x:v>RS.CO</x:v>
      </x:c>
      <x:c r="D31" s="102" t="str">
        <x:f>IF(A31="","",'CSF Profile Assessment'!M31)</x:f>
        <x:v>Low</x:v>
      </x:c>
      <x:c r="E31" s="102" t="str">
        <x:f>IF(A31="","",IF(ISNUMBER('CSF Profile Assessment'!L31),IF('CSF Profile Assessment'!J31&gt;0,"Yes","No"),"Not assessed"))</x:f>
        <x:v>Yes</x:v>
      </x:c>
      <x:c r="F31" s="102" t="str">
        <x:f>IF(A31="","",'CSF Profile Assessment'!O31)</x:f>
        <x:v>Communication could be delayed during a fast-moving incident.</x:v>
      </x:c>
      <x:c r="G31" s="102" t="str">
        <x:f>IF(A31="","",'CSF Profile Assessment'!P31)</x:f>
        <x:v>Create an incident communication matrix and maintain current contact information.</x:v>
      </x:c>
      <x:c r="H31" s="102" t="str">
        <x:f>IF(A31="","",'CSF Profile Assessment'!Q31)</x:f>
        <x:v>CISO</x:v>
      </x:c>
      <x:c r="I31" s="138" t="n">
        <x:f>IF(A31="","",IF(ISNUMBER('CSF Profile Assessment'!R31),IF('CSF Profile Assessment'!R31&gt;0,'CSF Profile Assessment'!R31,""),""))</x:f>
        <x:v>46362</x:v>
      </x:c>
      <x:c r="J31" s="102" t="str">
        <x:f>IF(A31="","",'CSF Profile Assessment'!S31)</x:f>
        <x:v>Planned</x:v>
      </x:c>
      <x:c r="K31" s="102" t="n">
        <x:f>IF(OR(A31="",E31="No",I31=""),"",I31-Methodology!$B$25)</x:f>
        <x:v>64</x:v>
      </x:c>
      <x:c r="L31" s="102" t="str">
        <x:f>IF(A31="","",IF('CSF Profile Assessment'!T31="","",'CSF Profile Assessment'!T31))</x:f>
        <x:v>Management channels exist but incident notification criteria are incomplete: Partial (2). A maintained communication matrix targets Mostly (3). Impact 2 reflects delayed or inconsistent notification.</x:v>
      </x:c>
      <x:c r="M31" s="102" t="str">
        <x:f>IF(A31="","",IF('CSF Profile Assessment'!U31="","",'CSF Profile Assessment'!U31))</x:f>
        <x:v>Scenario only</x:v>
      </x:c>
      <x:c r="N31" s="102" t="str">
        <x:f>IF(A31="","",IF('CSF Profile Assessment'!V31="","",'CSF Profile Assessment'!V31))</x:f>
        <x:v>Incident contacts, notification decision matrix, contract requirements and approved templates.</x:v>
      </x:c>
      <x:c r="O31" s="139" t="n">
        <x:f>IF(A31="","",IF('CSF Profile Assessment'!W31="","",'CSF Profile Assessment'!W31))</x:f>
        <x:v>46298</x:v>
      </x:c>
      <x:c r="P31" s="102" t="str">
        <x:f>IF(A31="","",IF('CSF Profile Assessment'!X31="","",'CSF Profile Assessment'!X31))</x:f>
      </x:c>
      <x:c r="Q31" s="102" t="str">
        <x:f>IF(A31="","",'CSF Profile Assessment'!Y31)</x:f>
        <x:v>OK</x:v>
      </x:c>
      <x:c r="R31" s="102" t="str">
        <x:f>IF(A31="","",'CSF Profile Assessment'!Z31)</x:f>
        <x:v>Scenario documented</x:v>
      </x:c>
      <x:c r="S31" s="102" t="str">
        <x:f>IF(A31="","",'CSF Profile Assessment'!AA31)</x:f>
        <x:v>R-015</x:v>
      </x:c>
      <x:c r="T31" s="102" t="str">
        <x:f>IF(A31="","",'CSF Profile Assessment'!AB31)</x:f>
        <x:v>Rehearse who authorizes and sends each notification; confirm contacts and requirements with the responsible business/legal owners.</x:v>
      </x:c>
      <x:c r="U31" s="102" t="str">
        <x:f>IF(A31="","",IF(NOT(ISNUMBER('CSF Profile Assessment'!R31)),"Date needed",IF('CSF Profile Assessment'!R31&lt;=0,"Date needed",IF('CSF Profile Assessment'!S31="Closed","Closed",IF('CSF Profile Assessment'!S31="Accepted",IF('CSF Profile Assessment'!R31&lt;Methodology!$B$25,"Acceptance review due","Accepted - review scheduled"),IF('CSF Profile Assessment'!R31&lt;Methodology!$B$25,"Overdue",IF('CSF Profile Assessment'!R31&lt;=Methodology!$B$25+30,"Due within 30 days","Scheduled")))))))</x:f>
        <x:v>Scheduled</x:v>
      </x:c>
    </x:row>
    <x:row r="32" ht="110" customHeight="1">
      <x:c r="A32" s="102" t="str">
        <x:f>IF('CSF Profile Assessment'!A32="","",'CSF Profile Assessment'!A32)</x:f>
        <x:v>GA-028</x:v>
      </x:c>
      <x:c r="B32" s="102" t="str">
        <x:f>IF(A32="","",'CSF Profile Assessment'!B32)</x:f>
        <x:v>Respond</x:v>
      </x:c>
      <x:c r="C32" s="102" t="str">
        <x:f>IF(A32="","",'CSF Profile Assessment'!C32)</x:f>
        <x:v>RS.MI</x:v>
      </x:c>
      <x:c r="D32" s="102" t="str">
        <x:f>IF(A32="","",'CSF Profile Assessment'!M32)</x:f>
        <x:v>Medium</x:v>
      </x:c>
      <x:c r="E32" s="102" t="str">
        <x:f>IF(A32="","",IF(ISNUMBER('CSF Profile Assessment'!L32),IF('CSF Profile Assessment'!J32&gt;0,"Yes","No"),"Not assessed"))</x:f>
        <x:v>Yes</x:v>
      </x:c>
      <x:c r="F32" s="102" t="str">
        <x:f>IF(A32="","",'CSF Profile Assessment'!O32)</x:f>
        <x:v>Repeat incidents may require teams to reconstruct response steps each time.</x:v>
      </x:c>
      <x:c r="G32" s="102" t="str">
        <x:f>IF(A32="","",'CSF Profile Assessment'!P32)</x:f>
        <x:v>Create concise playbooks for phishing/account compromise, ransomware, exposed secrets, and lost devices.</x:v>
      </x:c>
      <x:c r="H32" s="102" t="str">
        <x:f>IF(A32="","",'CSF Profile Assessment'!Q32)</x:f>
        <x:v>Security Manager</x:v>
      </x:c>
      <x:c r="I32" s="138" t="n">
        <x:f>IF(A32="","",IF(ISNUMBER('CSF Profile Assessment'!R32),IF('CSF Profile Assessment'!R32&gt;0,'CSF Profile Assessment'!R32,""),""))</x:f>
        <x:v>46362</x:v>
      </x:c>
      <x:c r="J32" s="102" t="str">
        <x:f>IF(A32="","",'CSF Profile Assessment'!S32)</x:f>
        <x:v>Planned</x:v>
      </x:c>
      <x:c r="K32" s="102" t="n">
        <x:f>IF(OR(A32="",E32="No",I32=""),"",I32-Methodology!$B$25)</x:f>
        <x:v>64</x:v>
      </x:c>
      <x:c r="L32" s="102" t="str">
        <x:f>IF(A32="","",IF('CSF Profile Assessment'!T32="","",'CSF Profile Assessment'!T32))</x:f>
        <x:v>Teams can disable accounts and isolate devices but playbooks are limited: Partial (2). Repeatable containment/eradication steps target Mostly (3). Impact 3 reflects ongoing attacker access or reinfection.</x:v>
      </x:c>
      <x:c r="M32" s="102" t="str">
        <x:f>IF(A32="","",IF('CSF Profile Assessment'!U32="","",'CSF Profile Assessment'!U32))</x:f>
        <x:v>Scenario only</x:v>
      </x:c>
      <x:c r="N32" s="102" t="str">
        <x:f>IF(A32="","",IF('CSF Profile Assessment'!V32="","",'CSF Profile Assessment'!V32))</x:f>
        <x:v>Response playbooks, authorization rules, isolation capability and exercise evidence.</x:v>
      </x:c>
      <x:c r="O32" s="139" t="n">
        <x:f>IF(A32="","",IF('CSF Profile Assessment'!W32="","",'CSF Profile Assessment'!W32))</x:f>
        <x:v>46298</x:v>
      </x:c>
      <x:c r="P32" s="102" t="str">
        <x:f>IF(A32="","",IF('CSF Profile Assessment'!X32="","",'CSF Profile Assessment'!X32))</x:f>
      </x:c>
      <x:c r="Q32" s="102" t="str">
        <x:f>IF(A32="","",'CSF Profile Assessment'!Y32)</x:f>
        <x:v>OK</x:v>
      </x:c>
      <x:c r="R32" s="102" t="str">
        <x:f>IF(A32="","",'CSF Profile Assessment'!Z32)</x:f>
        <x:v>Scenario documented</x:v>
      </x:c>
      <x:c r="S32" s="102" t="str">
        <x:f>IF(A32="","",'CSF Profile Assessment'!AA32)</x:f>
        <x:v>R-006, R-007, R-015, R-018, R-023</x:v>
      </x:c>
      <x:c r="T32" s="102" t="str">
        <x:f>IF(A32="","",'CSF Profile Assessment'!AB32)</x:f>
        <x:v>Exercise account revocation and endpoint isolation safely; verify preservation, eradication checks and controlled return to service.</x:v>
      </x:c>
      <x:c r="U32" s="102" t="str">
        <x:f>IF(A32="","",IF(NOT(ISNUMBER('CSF Profile Assessment'!R32)),"Date needed",IF('CSF Profile Assessment'!R32&lt;=0,"Date needed",IF('CSF Profile Assessment'!S32="Closed","Closed",IF('CSF Profile Assessment'!S32="Accepted",IF('CSF Profile Assessment'!R32&lt;Methodology!$B$25,"Acceptance review due","Accepted - review scheduled"),IF('CSF Profile Assessment'!R32&lt;Methodology!$B$25,"Overdue",IF('CSF Profile Assessment'!R32&lt;=Methodology!$B$25+30,"Due within 30 days","Scheduled")))))))</x:f>
        <x:v>Scheduled</x:v>
      </x:c>
    </x:row>
    <x:row r="33" ht="110" customHeight="1">
      <x:c r="A33" s="102" t="str">
        <x:f>IF('CSF Profile Assessment'!A33="","",'CSF Profile Assessment'!A33)</x:f>
        <x:v>GA-029</x:v>
      </x:c>
      <x:c r="B33" s="102" t="str">
        <x:f>IF(A33="","",'CSF Profile Assessment'!B33)</x:f>
        <x:v>Recover</x:v>
      </x:c>
      <x:c r="C33" s="102" t="str">
        <x:f>IF(A33="","",'CSF Profile Assessment'!C33)</x:f>
        <x:v>RC.RP</x:v>
      </x:c>
      <x:c r="D33" s="102" t="str">
        <x:f>IF(A33="","",'CSF Profile Assessment'!M33)</x:f>
        <x:v>Medium</x:v>
      </x:c>
      <x:c r="E33" s="102" t="str">
        <x:f>IF(A33="","",IF(ISNUMBER('CSF Profile Assessment'!L33),IF('CSF Profile Assessment'!J33&gt;0,"Yes","No"),"Not assessed"))</x:f>
        <x:v>Yes</x:v>
      </x:c>
      <x:c r="F33" s="102" t="str">
        <x:f>IF(A33="","",'CSF Profile Assessment'!O33)</x:f>
        <x:v>Recovery time may not match business expectations during a major outage.</x:v>
      </x:c>
      <x:c r="G33" s="102" t="str">
        <x:f>IF(A33="","",'CSF Profile Assessment'!P33)</x:f>
        <x:v>Define RTO/RPO and test recovery of critical services against them.</x:v>
      </x:c>
      <x:c r="H33" s="102" t="str">
        <x:f>IF(A33="","",'CSF Profile Assessment'!Q33)</x:f>
        <x:v>Operations Manager</x:v>
      </x:c>
      <x:c r="I33" s="138" t="n">
        <x:f>IF(A33="","",IF(ISNUMBER('CSF Profile Assessment'!R33),IF('CSF Profile Assessment'!R33&gt;0,'CSF Profile Assessment'!R33,""),""))</x:f>
        <x:v>46392</x:v>
      </x:c>
      <x:c r="J33" s="102" t="str">
        <x:f>IF(A33="","",'CSF Profile Assessment'!S33)</x:f>
        <x:v>Planned</x:v>
      </x:c>
      <x:c r="K33" s="102" t="n">
        <x:f>IF(OR(A33="",E33="No",I33=""),"",I33-Methodology!$B$25)</x:f>
        <x:v>94</x:v>
      </x:c>
      <x:c r="L33" s="102" t="str">
        <x:f>IF(A33="","",IF('CSF Profile Assessment'!T33="","",'CSF Profile Assessment'!T33))</x:f>
        <x:v>Technical recovery steps exist but business-approved objectives and end-to-end tests are incomplete: Partial (2). Defined objectives and tested recovery target Mostly (3). Impact 3 reflects service disruption and data loss.</x:v>
      </x:c>
      <x:c r="M33" s="102" t="str">
        <x:f>IF(A33="","",IF('CSF Profile Assessment'!U33="","",'CSF Profile Assessment'!U33))</x:f>
        <x:v>Scenario only</x:v>
      </x:c>
      <x:c r="N33" s="102" t="str">
        <x:f>IF(A33="","",IF('CSF Profile Assessment'!V33="","",'CSF Profile Assessment'!V33))</x:f>
        <x:v>Business impact analysis, RTO/RPO approvals, recovery runbooks, dependencies and test reports.</x:v>
      </x:c>
      <x:c r="O33" s="139" t="n">
        <x:f>IF(A33="","",IF('CSF Profile Assessment'!W33="","",'CSF Profile Assessment'!W33))</x:f>
        <x:v>46298</x:v>
      </x:c>
      <x:c r="P33" s="102" t="str">
        <x:f>IF(A33="","",IF('CSF Profile Assessment'!X33="","",'CSF Profile Assessment'!X33))</x:f>
      </x:c>
      <x:c r="Q33" s="102" t="str">
        <x:f>IF(A33="","",'CSF Profile Assessment'!Y33)</x:f>
        <x:v>OK</x:v>
      </x:c>
      <x:c r="R33" s="102" t="str">
        <x:f>IF(A33="","",'CSF Profile Assessment'!Z33)</x:f>
        <x:v>Scenario documented</x:v>
      </x:c>
      <x:c r="S33" s="102" t="str">
        <x:f>IF(A33="","",'CSF Profile Assessment'!AA33)</x:f>
        <x:v>R-012, R-016, R-017, R-029</x:v>
      </x:c>
      <x:c r="T33" s="102" t="str">
        <x:f>IF(A33="","",'CSF Profile Assessment'!AB33)</x:f>
        <x:v>Recover a representative critical service and compare measured time and data loss with approved objectives.</x:v>
      </x:c>
      <x:c r="U33" s="102" t="str">
        <x:f>IF(A33="","",IF(NOT(ISNUMBER('CSF Profile Assessment'!R33)),"Date needed",IF('CSF Profile Assessment'!R33&lt;=0,"Date needed",IF('CSF Profile Assessment'!S33="Closed","Closed",IF('CSF Profile Assessment'!S33="Accepted",IF('CSF Profile Assessment'!R33&lt;Methodology!$B$25,"Acceptance review due","Accepted - review scheduled"),IF('CSF Profile Assessment'!R33&lt;Methodology!$B$25,"Overdue",IF('CSF Profile Assessment'!R33&lt;=Methodology!$B$25+30,"Due within 30 days","Scheduled")))))))</x:f>
        <x:v>Scheduled</x:v>
      </x:c>
    </x:row>
    <x:row r="34" ht="110" customHeight="1">
      <x:c r="A34" s="102" t="str">
        <x:f>IF('CSF Profile Assessment'!A34="","",'CSF Profile Assessment'!A34)</x:f>
        <x:v>GA-030</x:v>
      </x:c>
      <x:c r="B34" s="102" t="str">
        <x:f>IF(A34="","",'CSF Profile Assessment'!B34)</x:f>
        <x:v>Recover</x:v>
      </x:c>
      <x:c r="C34" s="102" t="str">
        <x:f>IF(A34="","",'CSF Profile Assessment'!C34)</x:f>
        <x:v>RC.CO</x:v>
      </x:c>
      <x:c r="D34" s="102" t="str">
        <x:f>IF(A34="","",'CSF Profile Assessment'!M34)</x:f>
        <x:v>No Gap</x:v>
      </x:c>
      <x:c r="E34" s="102" t="str">
        <x:f>IF(A34="","",IF(ISNUMBER('CSF Profile Assessment'!L34),IF('CSF Profile Assessment'!J34&gt;0,"Yes","No"),"Not assessed"))</x:f>
        <x:v>No</x:v>
      </x:c>
      <x:c r="F34" s="102" t="str">
        <x:f>IF(A34="","",'CSF Profile Assessment'!O34)</x:f>
        <x:v>No material gap noted for the current target.</x:v>
      </x:c>
      <x:c r="G34" s="102" t="str">
        <x:f>IF(A34="","",'CSF Profile Assessment'!P34)</x:f>
        <x:v>Maintain templates and verify contacts during recovery exercises.</x:v>
      </x:c>
      <x:c r="H34" s="102" t="str">
        <x:f>IF(A34="","",'CSF Profile Assessment'!Q34)</x:f>
        <x:v>CISO</x:v>
      </x:c>
      <x:c r="I34" s="138" t="n">
        <x:f>IF(A34="","",IF(ISNUMBER('CSF Profile Assessment'!R34),IF('CSF Profile Assessment'!R34&gt;0,'CSF Profile Assessment'!R34,""),""))</x:f>
        <x:v>46452</x:v>
      </x:c>
      <x:c r="J34" s="102" t="str">
        <x:f>IF(A34="","",'CSF Profile Assessment'!S34)</x:f>
        <x:v>Monitor</x:v>
      </x:c>
      <x:c r="K34" s="102" t="str">
        <x:f>IF(OR(A34="",E34="No",I34=""),"",I34-Methodology!$B$25)</x:f>
      </x:c>
      <x:c r="L34" s="102" t="str">
        <x:f>IF(A34="","",IF('CSF Profile Assessment'!T34="","",'CSF Profile Assessment'!T34))</x:f>
        <x:v>Customer-status processes and business communication channels are established, supporting Mostly (3), matching target. Impact 2 reflects coordination during restoration. No-gap status still requires periodic maintenance.</x:v>
      </x:c>
      <x:c r="M34" s="102" t="str">
        <x:f>IF(A34="","",IF('CSF Profile Assessment'!U34="","",'CSF Profile Assessment'!U34))</x:f>
        <x:v>Scenario only</x:v>
      </x:c>
      <x:c r="N34" s="102" t="str">
        <x:f>IF(A34="","",IF('CSF Profile Assessment'!V34="","",'CSF Profile Assessment'!V34))</x:f>
        <x:v>Restoration templates, status-page process, stakeholder contacts and communication responsibilities.</x:v>
      </x:c>
      <x:c r="O34" s="139" t="n">
        <x:f>IF(A34="","",IF('CSF Profile Assessment'!W34="","",'CSF Profile Assessment'!W34))</x:f>
        <x:v>46298</x:v>
      </x:c>
      <x:c r="P34" s="102" t="str">
        <x:f>IF(A34="","",IF('CSF Profile Assessment'!X34="","",'CSF Profile Assessment'!X34))</x:f>
      </x:c>
      <x:c r="Q34" s="102" t="str">
        <x:f>IF(A34="","",'CSF Profile Assessment'!Y34)</x:f>
        <x:v>OK</x:v>
      </x:c>
      <x:c r="R34" s="102" t="str">
        <x:f>IF(A34="","",'CSF Profile Assessment'!Z34)</x:f>
        <x:v>Scenario documented</x:v>
      </x:c>
      <x:c r="S34" s="102" t="str">
        <x:f>IF(A34="","",'CSF Profile Assessment'!AA34)</x:f>
        <x:v>R-017, R-029</x:v>
      </x:c>
      <x:c r="T34" s="102" t="str">
        <x:f>IF(A34="","",'CSF Profile Assessment'!AB34)</x:f>
        <x:v>Rehearse a restoration update and verify approval, audience and current contacts; update templates when services change.</x:v>
      </x:c>
      <x:c r="U34" s="102" t="str">
        <x:f>IF(A34="","",IF(NOT(ISNUMBER('CSF Profile Assessment'!R34)),"Date needed",IF('CSF Profile Assessment'!R34&lt;=0,"Date needed",IF('CSF Profile Assessment'!S34="Closed","Closed",IF('CSF Profile Assessment'!S34="Accepted",IF('CSF Profile Assessment'!R34&lt;Methodology!$B$25,"Acceptance review due","Accepted - review scheduled"),IF('CSF Profile Assessment'!R34&lt;Methodology!$B$25,"Overdue",IF('CSF Profile Assessment'!R34&lt;=Methodology!$B$25+30,"Due within 30 days","Scheduled")))))))</x:f>
        <x:v>Scheduled</x:v>
      </x:c>
    </x:row>
    <x:row r="35" ht="110" customHeight="1">
      <x:c r="A35" s="102" t="str">
        <x:f>IF('CSF Profile Assessment'!A35="","",'CSF Profile Assessment'!A35)</x:f>
        <x:v>GA-031</x:v>
      </x:c>
      <x:c r="B35" s="102" t="str">
        <x:f>IF(A35="","",'CSF Profile Assessment'!B35)</x:f>
        <x:v>Respond</x:v>
      </x:c>
      <x:c r="C35" s="102" t="str">
        <x:f>IF(A35="","",'CSF Profile Assessment'!C35)</x:f>
        <x:v>RS.AN</x:v>
      </x:c>
      <x:c r="D35" s="102" t="str">
        <x:f>IF(A35="","",'CSF Profile Assessment'!M35)</x:f>
        <x:v>High</x:v>
      </x:c>
      <x:c r="E35" s="102" t="str">
        <x:f>IF(A35="","",IF(ISNUMBER('CSF Profile Assessment'!L35),IF('CSF Profile Assessment'!J35&gt;0,"Yes","No"),"Not assessed"))</x:f>
        <x:v>Yes</x:v>
      </x:c>
      <x:c r="F35" s="102" t="str">
        <x:f>IF(A35="","",'CSF Profile Assessment'!O35)</x:f>
        <x:v>The team may underestimate incident scope or repeat the same weakness after restoration.</x:v>
      </x:c>
      <x:c r="G35" s="102" t="str">
        <x:f>IF(A35="","",'CSF Profile Assessment'!P35)</x:f>
        <x:v>Define an incident-analysis procedure covering timeline, affected assets, cause, evidence handling and corrective actions.</x:v>
      </x:c>
      <x:c r="H35" s="102" t="str">
        <x:f>IF(A35="","",'CSF Profile Assessment'!Q35)</x:f>
        <x:v>Security Manager</x:v>
      </x:c>
      <x:c r="I35" s="138" t="n">
        <x:f>IF(A35="","",IF(ISNUMBER('CSF Profile Assessment'!R35),IF('CSF Profile Assessment'!R35&gt;0,'CSF Profile Assessment'!R35,""),""))</x:f>
        <x:v>46358</x:v>
      </x:c>
      <x:c r="J35" s="102" t="str">
        <x:f>IF(A35="","",'CSF Profile Assessment'!S35)</x:f>
        <x:v>Planned</x:v>
      </x:c>
      <x:c r="K35" s="102" t="n">
        <x:f>IF(OR(A35="",E35="No",I35=""),"",I35-Methodology!$B$25)</x:f>
        <x:v>60</x:v>
      </x:c>
      <x:c r="L35" s="102" t="str">
        <x:f>IF(A35="","",IF('CSF Profile Assessment'!T35="","",'CSF Profile Assessment'!T35))</x:f>
        <x:v>Informal event investigation without a repeatable timeline or cause analysis supports Ad hoc (1). Documented analysis and evidence handling target Mostly (3). Impact 3 reflects incomplete scoping and repeated compromise.</x:v>
      </x:c>
      <x:c r="M35" s="102" t="str">
        <x:f>IF(A35="","",IF('CSF Profile Assessment'!U35="","",'CSF Profile Assessment'!U35))</x:f>
        <x:v>Scenario only</x:v>
      </x:c>
      <x:c r="N35" s="102" t="str">
        <x:f>IF(A35="","",IF('CSF Profile Assessment'!V35="","",'CSF Profile Assessment'!V35))</x:f>
        <x:v>Investigation procedure, case timeline, affected-asset list, evidence handling records and root-cause notes.</x:v>
      </x:c>
      <x:c r="O35" s="139" t="n">
        <x:f>IF(A35="","",IF('CSF Profile Assessment'!W35="","",'CSF Profile Assessment'!W35))</x:f>
        <x:v>46298</x:v>
      </x:c>
      <x:c r="P35" s="102" t="str">
        <x:f>IF(A35="","",IF('CSF Profile Assessment'!X35="","",'CSF Profile Assessment'!X35))</x:f>
      </x:c>
      <x:c r="Q35" s="102" t="str">
        <x:f>IF(A35="","",'CSF Profile Assessment'!Y35)</x:f>
        <x:v>OK</x:v>
      </x:c>
      <x:c r="R35" s="102" t="str">
        <x:f>IF(A35="","",'CSF Profile Assessment'!Z35)</x:f>
        <x:v>Scenario documented</x:v>
      </x:c>
      <x:c r="S35" s="102" t="str">
        <x:f>IF(A35="","",'CSF Profile Assessment'!AA35)</x:f>
        <x:v>R-014, R-015, R-026</x:v>
      </x:c>
      <x:c r="T35" s="102" t="str">
        <x:f>IF(A35="","",'CSF Profile Assessment'!AB35)</x:f>
        <x:v>Run a synthetic incident analysis: establish a timeline, scope affected assets, preserve evidence, document cause and route corrective actions.</x:v>
      </x:c>
      <x:c r="U35" s="102" t="str">
        <x:f>IF(A35="","",IF(NOT(ISNUMBER('CSF Profile Assessment'!R35)),"Date needed",IF('CSF Profile Assessment'!R35&lt;=0,"Date needed",IF('CSF Profile Assessment'!S35="Closed","Closed",IF('CSF Profile Assessment'!S35="Accepted",IF('CSF Profile Assessment'!R35&lt;Methodology!$B$25,"Acceptance review due","Accepted - review scheduled"),IF('CSF Profile Assessment'!R35&lt;Methodology!$B$25,"Overdue",IF('CSF Profile Assessment'!R35&lt;=Methodology!$B$25+30,"Due within 30 days","Scheduled")))))))</x:f>
        <x:v>Scheduled</x:v>
      </x:c>
    </x:row>
    <x:row r="36" ht="40" customHeight="1">
      <x:c r="A36" s="102" t="str">
        <x:f>IF('CSF Profile Assessment'!A36="","",'CSF Profile Assessment'!A36)</x:f>
      </x:c>
      <x:c r="B36" s="102" t="str">
        <x:f>IF(A36="","",'CSF Profile Assessment'!B36)</x:f>
      </x:c>
      <x:c r="C36" s="102" t="str">
        <x:f>IF(A36="","",'CSF Profile Assessment'!C36)</x:f>
      </x:c>
      <x:c r="D36" s="102" t="str">
        <x:f>IF(A36="","",'CSF Profile Assessment'!M36)</x:f>
      </x:c>
      <x:c r="E36" s="102" t="str">
        <x:f>IF(A36="","",IF(ISNUMBER('CSF Profile Assessment'!L36),IF('CSF Profile Assessment'!J36&gt;0,"Yes","No"),"Not assessed"))</x:f>
      </x:c>
      <x:c r="F36" s="102" t="str">
        <x:f>IF(A36="","",'CSF Profile Assessment'!O36)</x:f>
      </x:c>
      <x:c r="G36" s="102" t="str">
        <x:f>IF(A36="","",'CSF Profile Assessment'!P36)</x:f>
      </x:c>
      <x:c r="H36" s="102" t="str">
        <x:f>IF(A36="","",'CSF Profile Assessment'!Q36)</x:f>
      </x:c>
      <x:c r="I36" s="138" t="str">
        <x:f>IF(A36="","",IF(ISNUMBER('CSF Profile Assessment'!R36),IF('CSF Profile Assessment'!R36&gt;0,'CSF Profile Assessment'!R36,""),""))</x:f>
      </x:c>
      <x:c r="J36" s="102" t="str">
        <x:f>IF(A36="","",'CSF Profile Assessment'!S36)</x:f>
      </x:c>
      <x:c r="K36" s="102" t="str">
        <x:f>IF(OR(A36="",E36="No",I36=""),"",I36-Methodology!$B$25)</x:f>
      </x:c>
      <x:c r="L36" s="102" t="str">
        <x:f>IF(A36="","",IF('CSF Profile Assessment'!T36="","",'CSF Profile Assessment'!T36))</x:f>
      </x:c>
      <x:c r="M36" s="102" t="str">
        <x:f>IF(A36="","",IF('CSF Profile Assessment'!U36="","",'CSF Profile Assessment'!U36))</x:f>
      </x:c>
      <x:c r="N36" s="102" t="str">
        <x:f>IF(A36="","",IF('CSF Profile Assessment'!V36="","",'CSF Profile Assessment'!V36))</x:f>
      </x:c>
      <x:c r="O36" s="139" t="str">
        <x:f>IF(A36="","",IF('CSF Profile Assessment'!W36="","",'CSF Profile Assessment'!W36))</x:f>
      </x:c>
      <x:c r="P36" s="102" t="str">
        <x:f>IF(A36="","",IF('CSF Profile Assessment'!X36="","",'CSF Profile Assessment'!X36))</x:f>
      </x:c>
      <x:c r="Q36" s="102" t="str">
        <x:f>IF(A36="","",'CSF Profile Assessment'!Y36)</x:f>
      </x:c>
      <x:c r="R36" s="102" t="str">
        <x:f>IF(A36="","",'CSF Profile Assessment'!Z36)</x:f>
      </x:c>
      <x:c r="S36" s="102" t="str">
        <x:f>IF(A36="","",'CSF Profile Assessment'!AA36)</x:f>
      </x:c>
      <x:c r="T36" s="102" t="str">
        <x:f>IF(A36="","",'CSF Profile Assessment'!AB36)</x:f>
      </x:c>
      <x:c r="U36" s="102" t="str">
        <x:f>IF(A36="","",IF(NOT(ISNUMBER('CSF Profile Assessment'!R36)),"Date needed",IF('CSF Profile Assessment'!R36&lt;=0,"Date needed",IF('CSF Profile Assessment'!S36="Closed","Closed",IF('CSF Profile Assessment'!S36="Accepted",IF('CSF Profile Assessment'!R36&lt;Methodology!$B$25,"Acceptance review due","Accepted - review scheduled"),IF('CSF Profile Assessment'!R36&lt;Methodology!$B$25,"Overdue",IF('CSF Profile Assessment'!R36&lt;=Methodology!$B$25+30,"Due within 30 days","Scheduled")))))))</x:f>
      </x:c>
    </x:row>
    <x:row r="37" ht="40" customHeight="1">
      <x:c r="A37" s="102" t="str">
        <x:f>IF('CSF Profile Assessment'!A37="","",'CSF Profile Assessment'!A37)</x:f>
      </x:c>
      <x:c r="B37" s="102" t="str">
        <x:f>IF(A37="","",'CSF Profile Assessment'!B37)</x:f>
      </x:c>
      <x:c r="C37" s="102" t="str">
        <x:f>IF(A37="","",'CSF Profile Assessment'!C37)</x:f>
      </x:c>
      <x:c r="D37" s="102" t="str">
        <x:f>IF(A37="","",'CSF Profile Assessment'!M37)</x:f>
      </x:c>
      <x:c r="E37" s="102" t="str">
        <x:f>IF(A37="","",IF(ISNUMBER('CSF Profile Assessment'!L37),IF('CSF Profile Assessment'!J37&gt;0,"Yes","No"),"Not assessed"))</x:f>
      </x:c>
      <x:c r="F37" s="102" t="str">
        <x:f>IF(A37="","",'CSF Profile Assessment'!O37)</x:f>
      </x:c>
      <x:c r="G37" s="102" t="str">
        <x:f>IF(A37="","",'CSF Profile Assessment'!P37)</x:f>
      </x:c>
      <x:c r="H37" s="102" t="str">
        <x:f>IF(A37="","",'CSF Profile Assessment'!Q37)</x:f>
      </x:c>
      <x:c r="I37" s="138" t="str">
        <x:f>IF(A37="","",IF(ISNUMBER('CSF Profile Assessment'!R37),IF('CSF Profile Assessment'!R37&gt;0,'CSF Profile Assessment'!R37,""),""))</x:f>
      </x:c>
      <x:c r="J37" s="102" t="str">
        <x:f>IF(A37="","",'CSF Profile Assessment'!S37)</x:f>
      </x:c>
      <x:c r="K37" s="102" t="str">
        <x:f>IF(OR(A37="",E37="No",I37=""),"",I37-Methodology!$B$25)</x:f>
      </x:c>
      <x:c r="L37" s="102" t="str">
        <x:f>IF(A37="","",IF('CSF Profile Assessment'!T37="","",'CSF Profile Assessment'!T37))</x:f>
      </x:c>
      <x:c r="M37" s="102" t="str">
        <x:f>IF(A37="","",IF('CSF Profile Assessment'!U37="","",'CSF Profile Assessment'!U37))</x:f>
      </x:c>
      <x:c r="N37" s="102" t="str">
        <x:f>IF(A37="","",IF('CSF Profile Assessment'!V37="","",'CSF Profile Assessment'!V37))</x:f>
      </x:c>
      <x:c r="O37" s="139" t="str">
        <x:f>IF(A37="","",IF('CSF Profile Assessment'!W37="","",'CSF Profile Assessment'!W37))</x:f>
      </x:c>
      <x:c r="P37" s="102" t="str">
        <x:f>IF(A37="","",IF('CSF Profile Assessment'!X37="","",'CSF Profile Assessment'!X37))</x:f>
      </x:c>
      <x:c r="Q37" s="102" t="str">
        <x:f>IF(A37="","",'CSF Profile Assessment'!Y37)</x:f>
      </x:c>
      <x:c r="R37" s="102" t="str">
        <x:f>IF(A37="","",'CSF Profile Assessment'!Z37)</x:f>
      </x:c>
      <x:c r="S37" s="102" t="str">
        <x:f>IF(A37="","",'CSF Profile Assessment'!AA37)</x:f>
      </x:c>
      <x:c r="T37" s="102" t="str">
        <x:f>IF(A37="","",'CSF Profile Assessment'!AB37)</x:f>
      </x:c>
      <x:c r="U37" s="102" t="str">
        <x:f>IF(A37="","",IF(NOT(ISNUMBER('CSF Profile Assessment'!R37)),"Date needed",IF('CSF Profile Assessment'!R37&lt;=0,"Date needed",IF('CSF Profile Assessment'!S37="Closed","Closed",IF('CSF Profile Assessment'!S37="Accepted",IF('CSF Profile Assessment'!R37&lt;Methodology!$B$25,"Acceptance review due","Accepted - review scheduled"),IF('CSF Profile Assessment'!R37&lt;Methodology!$B$25,"Overdue",IF('CSF Profile Assessment'!R37&lt;=Methodology!$B$25+30,"Due within 30 days","Scheduled")))))))</x:f>
      </x:c>
    </x:row>
    <x:row r="38" ht="40" customHeight="1">
      <x:c r="A38" s="102" t="str">
        <x:f>IF('CSF Profile Assessment'!A38="","",'CSF Profile Assessment'!A38)</x:f>
      </x:c>
      <x:c r="B38" s="102" t="str">
        <x:f>IF(A38="","",'CSF Profile Assessment'!B38)</x:f>
      </x:c>
      <x:c r="C38" s="102" t="str">
        <x:f>IF(A38="","",'CSF Profile Assessment'!C38)</x:f>
      </x:c>
      <x:c r="D38" s="102" t="str">
        <x:f>IF(A38="","",'CSF Profile Assessment'!M38)</x:f>
      </x:c>
      <x:c r="E38" s="102" t="str">
        <x:f>IF(A38="","",IF(ISNUMBER('CSF Profile Assessment'!L38),IF('CSF Profile Assessment'!J38&gt;0,"Yes","No"),"Not assessed"))</x:f>
      </x:c>
      <x:c r="F38" s="102" t="str">
        <x:f>IF(A38="","",'CSF Profile Assessment'!O38)</x:f>
      </x:c>
      <x:c r="G38" s="102" t="str">
        <x:f>IF(A38="","",'CSF Profile Assessment'!P38)</x:f>
      </x:c>
      <x:c r="H38" s="102" t="str">
        <x:f>IF(A38="","",'CSF Profile Assessment'!Q38)</x:f>
      </x:c>
      <x:c r="I38" s="138" t="str">
        <x:f>IF(A38="","",IF(ISNUMBER('CSF Profile Assessment'!R38),IF('CSF Profile Assessment'!R38&gt;0,'CSF Profile Assessment'!R38,""),""))</x:f>
      </x:c>
      <x:c r="J38" s="102" t="str">
        <x:f>IF(A38="","",'CSF Profile Assessment'!S38)</x:f>
      </x:c>
      <x:c r="K38" s="102" t="str">
        <x:f>IF(OR(A38="",E38="No",I38=""),"",I38-Methodology!$B$25)</x:f>
      </x:c>
      <x:c r="L38" s="102" t="str">
        <x:f>IF(A38="","",IF('CSF Profile Assessment'!T38="","",'CSF Profile Assessment'!T38))</x:f>
      </x:c>
      <x:c r="M38" s="102" t="str">
        <x:f>IF(A38="","",IF('CSF Profile Assessment'!U38="","",'CSF Profile Assessment'!U38))</x:f>
      </x:c>
      <x:c r="N38" s="102" t="str">
        <x:f>IF(A38="","",IF('CSF Profile Assessment'!V38="","",'CSF Profile Assessment'!V38))</x:f>
      </x:c>
      <x:c r="O38" s="139" t="str">
        <x:f>IF(A38="","",IF('CSF Profile Assessment'!W38="","",'CSF Profile Assessment'!W38))</x:f>
      </x:c>
      <x:c r="P38" s="102" t="str">
        <x:f>IF(A38="","",IF('CSF Profile Assessment'!X38="","",'CSF Profile Assessment'!X38))</x:f>
      </x:c>
      <x:c r="Q38" s="102" t="str">
        <x:f>IF(A38="","",'CSF Profile Assessment'!Y38)</x:f>
      </x:c>
      <x:c r="R38" s="102" t="str">
        <x:f>IF(A38="","",'CSF Profile Assessment'!Z38)</x:f>
      </x:c>
      <x:c r="S38" s="102" t="str">
        <x:f>IF(A38="","",'CSF Profile Assessment'!AA38)</x:f>
      </x:c>
      <x:c r="T38" s="102" t="str">
        <x:f>IF(A38="","",'CSF Profile Assessment'!AB38)</x:f>
      </x:c>
      <x:c r="U38" s="102" t="str">
        <x:f>IF(A38="","",IF(NOT(ISNUMBER('CSF Profile Assessment'!R38)),"Date needed",IF('CSF Profile Assessment'!R38&lt;=0,"Date needed",IF('CSF Profile Assessment'!S38="Closed","Closed",IF('CSF Profile Assessment'!S38="Accepted",IF('CSF Profile Assessment'!R38&lt;Methodology!$B$25,"Acceptance review due","Accepted - review scheduled"),IF('CSF Profile Assessment'!R38&lt;Methodology!$B$25,"Overdue",IF('CSF Profile Assessment'!R38&lt;=Methodology!$B$25+30,"Due within 30 days","Scheduled")))))))</x:f>
      </x:c>
    </x:row>
    <x:row r="39" ht="40" customHeight="1">
      <x:c r="A39" s="102" t="str">
        <x:f>IF('CSF Profile Assessment'!A39="","",'CSF Profile Assessment'!A39)</x:f>
      </x:c>
      <x:c r="B39" s="102" t="str">
        <x:f>IF(A39="","",'CSF Profile Assessment'!B39)</x:f>
      </x:c>
      <x:c r="C39" s="102" t="str">
        <x:f>IF(A39="","",'CSF Profile Assessment'!C39)</x:f>
      </x:c>
      <x:c r="D39" s="102" t="str">
        <x:f>IF(A39="","",'CSF Profile Assessment'!M39)</x:f>
      </x:c>
      <x:c r="E39" s="102" t="str">
        <x:f>IF(A39="","",IF(ISNUMBER('CSF Profile Assessment'!L39),IF('CSF Profile Assessment'!J39&gt;0,"Yes","No"),"Not assessed"))</x:f>
      </x:c>
      <x:c r="F39" s="102" t="str">
        <x:f>IF(A39="","",'CSF Profile Assessment'!O39)</x:f>
      </x:c>
      <x:c r="G39" s="102" t="str">
        <x:f>IF(A39="","",'CSF Profile Assessment'!P39)</x:f>
      </x:c>
      <x:c r="H39" s="102" t="str">
        <x:f>IF(A39="","",'CSF Profile Assessment'!Q39)</x:f>
      </x:c>
      <x:c r="I39" s="138" t="str">
        <x:f>IF(A39="","",IF(ISNUMBER('CSF Profile Assessment'!R39),IF('CSF Profile Assessment'!R39&gt;0,'CSF Profile Assessment'!R39,""),""))</x:f>
      </x:c>
      <x:c r="J39" s="102" t="str">
        <x:f>IF(A39="","",'CSF Profile Assessment'!S39)</x:f>
      </x:c>
      <x:c r="K39" s="102" t="str">
        <x:f>IF(OR(A39="",E39="No",I39=""),"",I39-Methodology!$B$25)</x:f>
      </x:c>
      <x:c r="L39" s="102" t="str">
        <x:f>IF(A39="","",IF('CSF Profile Assessment'!T39="","",'CSF Profile Assessment'!T39))</x:f>
      </x:c>
      <x:c r="M39" s="102" t="str">
        <x:f>IF(A39="","",IF('CSF Profile Assessment'!U39="","",'CSF Profile Assessment'!U39))</x:f>
      </x:c>
      <x:c r="N39" s="102" t="str">
        <x:f>IF(A39="","",IF('CSF Profile Assessment'!V39="","",'CSF Profile Assessment'!V39))</x:f>
      </x:c>
      <x:c r="O39" s="139" t="str">
        <x:f>IF(A39="","",IF('CSF Profile Assessment'!W39="","",'CSF Profile Assessment'!W39))</x:f>
      </x:c>
      <x:c r="P39" s="102" t="str">
        <x:f>IF(A39="","",IF('CSF Profile Assessment'!X39="","",'CSF Profile Assessment'!X39))</x:f>
      </x:c>
      <x:c r="Q39" s="102" t="str">
        <x:f>IF(A39="","",'CSF Profile Assessment'!Y39)</x:f>
      </x:c>
      <x:c r="R39" s="102" t="str">
        <x:f>IF(A39="","",'CSF Profile Assessment'!Z39)</x:f>
      </x:c>
      <x:c r="S39" s="102" t="str">
        <x:f>IF(A39="","",'CSF Profile Assessment'!AA39)</x:f>
      </x:c>
      <x:c r="T39" s="102" t="str">
        <x:f>IF(A39="","",'CSF Profile Assessment'!AB39)</x:f>
      </x:c>
      <x:c r="U39" s="102" t="str">
        <x:f>IF(A39="","",IF(NOT(ISNUMBER('CSF Profile Assessment'!R39)),"Date needed",IF('CSF Profile Assessment'!R39&lt;=0,"Date needed",IF('CSF Profile Assessment'!S39="Closed","Closed",IF('CSF Profile Assessment'!S39="Accepted",IF('CSF Profile Assessment'!R39&lt;Methodology!$B$25,"Acceptance review due","Accepted - review scheduled"),IF('CSF Profile Assessment'!R39&lt;Methodology!$B$25,"Overdue",IF('CSF Profile Assessment'!R39&lt;=Methodology!$B$25+30,"Due within 30 days","Scheduled")))))))</x:f>
      </x:c>
    </x:row>
    <x:row r="40" ht="40" customHeight="1">
      <x:c r="A40" s="102" t="str">
        <x:f>IF('CSF Profile Assessment'!A40="","",'CSF Profile Assessment'!A40)</x:f>
      </x:c>
      <x:c r="B40" s="102" t="str">
        <x:f>IF(A40="","",'CSF Profile Assessment'!B40)</x:f>
      </x:c>
      <x:c r="C40" s="102" t="str">
        <x:f>IF(A40="","",'CSF Profile Assessment'!C40)</x:f>
      </x:c>
      <x:c r="D40" s="102" t="str">
        <x:f>IF(A40="","",'CSF Profile Assessment'!M40)</x:f>
      </x:c>
      <x:c r="E40" s="102" t="str">
        <x:f>IF(A40="","",IF(ISNUMBER('CSF Profile Assessment'!L40),IF('CSF Profile Assessment'!J40&gt;0,"Yes","No"),"Not assessed"))</x:f>
      </x:c>
      <x:c r="F40" s="102" t="str">
        <x:f>IF(A40="","",'CSF Profile Assessment'!O40)</x:f>
      </x:c>
      <x:c r="G40" s="102" t="str">
        <x:f>IF(A40="","",'CSF Profile Assessment'!P40)</x:f>
      </x:c>
      <x:c r="H40" s="102" t="str">
        <x:f>IF(A40="","",'CSF Profile Assessment'!Q40)</x:f>
      </x:c>
      <x:c r="I40" s="138" t="str">
        <x:f>IF(A40="","",IF(ISNUMBER('CSF Profile Assessment'!R40),IF('CSF Profile Assessment'!R40&gt;0,'CSF Profile Assessment'!R40,""),""))</x:f>
      </x:c>
      <x:c r="J40" s="102" t="str">
        <x:f>IF(A40="","",'CSF Profile Assessment'!S40)</x:f>
      </x:c>
      <x:c r="K40" s="102" t="str">
        <x:f>IF(OR(A40="",E40="No",I40=""),"",I40-Methodology!$B$25)</x:f>
      </x:c>
      <x:c r="L40" s="102" t="str">
        <x:f>IF(A40="","",IF('CSF Profile Assessment'!T40="","",'CSF Profile Assessment'!T40))</x:f>
      </x:c>
      <x:c r="M40" s="102" t="str">
        <x:f>IF(A40="","",IF('CSF Profile Assessment'!U40="","",'CSF Profile Assessment'!U40))</x:f>
      </x:c>
      <x:c r="N40" s="102" t="str">
        <x:f>IF(A40="","",IF('CSF Profile Assessment'!V40="","",'CSF Profile Assessment'!V40))</x:f>
      </x:c>
      <x:c r="O40" s="139" t="str">
        <x:f>IF(A40="","",IF('CSF Profile Assessment'!W40="","",'CSF Profile Assessment'!W40))</x:f>
      </x:c>
      <x:c r="P40" s="102" t="str">
        <x:f>IF(A40="","",IF('CSF Profile Assessment'!X40="","",'CSF Profile Assessment'!X40))</x:f>
      </x:c>
      <x:c r="Q40" s="102" t="str">
        <x:f>IF(A40="","",'CSF Profile Assessment'!Y40)</x:f>
      </x:c>
      <x:c r="R40" s="102" t="str">
        <x:f>IF(A40="","",'CSF Profile Assessment'!Z40)</x:f>
      </x:c>
      <x:c r="S40" s="102" t="str">
        <x:f>IF(A40="","",'CSF Profile Assessment'!AA40)</x:f>
      </x:c>
      <x:c r="T40" s="102" t="str">
        <x:f>IF(A40="","",'CSF Profile Assessment'!AB40)</x:f>
      </x:c>
      <x:c r="U40" s="102" t="str">
        <x:f>IF(A40="","",IF(NOT(ISNUMBER('CSF Profile Assessment'!R40)),"Date needed",IF('CSF Profile Assessment'!R40&lt;=0,"Date needed",IF('CSF Profile Assessment'!S40="Closed","Closed",IF('CSF Profile Assessment'!S40="Accepted",IF('CSF Profile Assessment'!R40&lt;Methodology!$B$25,"Acceptance review due","Accepted - review scheduled"),IF('CSF Profile Assessment'!R40&lt;Methodology!$B$25,"Overdue",IF('CSF Profile Assessment'!R40&lt;=Methodology!$B$25+30,"Due within 30 days","Scheduled")))))))</x:f>
      </x:c>
    </x:row>
    <x:row r="41" ht="40" customHeight="1">
      <x:c r="A41" s="102" t="str">
        <x:f>IF('CSF Profile Assessment'!A41="","",'CSF Profile Assessment'!A41)</x:f>
      </x:c>
      <x:c r="B41" s="102" t="str">
        <x:f>IF(A41="","",'CSF Profile Assessment'!B41)</x:f>
      </x:c>
      <x:c r="C41" s="102" t="str">
        <x:f>IF(A41="","",'CSF Profile Assessment'!C41)</x:f>
      </x:c>
      <x:c r="D41" s="102" t="str">
        <x:f>IF(A41="","",'CSF Profile Assessment'!M41)</x:f>
      </x:c>
      <x:c r="E41" s="102" t="str">
        <x:f>IF(A41="","",IF(ISNUMBER('CSF Profile Assessment'!L41),IF('CSF Profile Assessment'!J41&gt;0,"Yes","No"),"Not assessed"))</x:f>
      </x:c>
      <x:c r="F41" s="102" t="str">
        <x:f>IF(A41="","",'CSF Profile Assessment'!O41)</x:f>
      </x:c>
      <x:c r="G41" s="102" t="str">
        <x:f>IF(A41="","",'CSF Profile Assessment'!P41)</x:f>
      </x:c>
      <x:c r="H41" s="102" t="str">
        <x:f>IF(A41="","",'CSF Profile Assessment'!Q41)</x:f>
      </x:c>
      <x:c r="I41" s="138" t="str">
        <x:f>IF(A41="","",IF(ISNUMBER('CSF Profile Assessment'!R41),IF('CSF Profile Assessment'!R41&gt;0,'CSF Profile Assessment'!R41,""),""))</x:f>
      </x:c>
      <x:c r="J41" s="102" t="str">
        <x:f>IF(A41="","",'CSF Profile Assessment'!S41)</x:f>
      </x:c>
      <x:c r="K41" s="102" t="str">
        <x:f>IF(OR(A41="",E41="No",I41=""),"",I41-Methodology!$B$25)</x:f>
      </x:c>
      <x:c r="L41" s="102" t="str">
        <x:f>IF(A41="","",IF('CSF Profile Assessment'!T41="","",'CSF Profile Assessment'!T41))</x:f>
      </x:c>
      <x:c r="M41" s="102" t="str">
        <x:f>IF(A41="","",IF('CSF Profile Assessment'!U41="","",'CSF Profile Assessment'!U41))</x:f>
      </x:c>
      <x:c r="N41" s="102" t="str">
        <x:f>IF(A41="","",IF('CSF Profile Assessment'!V41="","",'CSF Profile Assessment'!V41))</x:f>
      </x:c>
      <x:c r="O41" s="139" t="str">
        <x:f>IF(A41="","",IF('CSF Profile Assessment'!W41="","",'CSF Profile Assessment'!W41))</x:f>
      </x:c>
      <x:c r="P41" s="102" t="str">
        <x:f>IF(A41="","",IF('CSF Profile Assessment'!X41="","",'CSF Profile Assessment'!X41))</x:f>
      </x:c>
      <x:c r="Q41" s="102" t="str">
        <x:f>IF(A41="","",'CSF Profile Assessment'!Y41)</x:f>
      </x:c>
      <x:c r="R41" s="102" t="str">
        <x:f>IF(A41="","",'CSF Profile Assessment'!Z41)</x:f>
      </x:c>
      <x:c r="S41" s="102" t="str">
        <x:f>IF(A41="","",'CSF Profile Assessment'!AA41)</x:f>
      </x:c>
      <x:c r="T41" s="102" t="str">
        <x:f>IF(A41="","",'CSF Profile Assessment'!AB41)</x:f>
      </x:c>
      <x:c r="U41" s="102" t="str">
        <x:f>IF(A41="","",IF(NOT(ISNUMBER('CSF Profile Assessment'!R41)),"Date needed",IF('CSF Profile Assessment'!R41&lt;=0,"Date needed",IF('CSF Profile Assessment'!S41="Closed","Closed",IF('CSF Profile Assessment'!S41="Accepted",IF('CSF Profile Assessment'!R41&lt;Methodology!$B$25,"Acceptance review due","Accepted - review scheduled"),IF('CSF Profile Assessment'!R41&lt;Methodology!$B$25,"Overdue",IF('CSF Profile Assessment'!R41&lt;=Methodology!$B$25+30,"Due within 30 days","Scheduled")))))))</x:f>
      </x:c>
    </x:row>
    <x:row r="42" ht="40" customHeight="1">
      <x:c r="A42" s="102" t="str">
        <x:f>IF('CSF Profile Assessment'!A42="","",'CSF Profile Assessment'!A42)</x:f>
      </x:c>
      <x:c r="B42" s="102" t="str">
        <x:f>IF(A42="","",'CSF Profile Assessment'!B42)</x:f>
      </x:c>
      <x:c r="C42" s="102" t="str">
        <x:f>IF(A42="","",'CSF Profile Assessment'!C42)</x:f>
      </x:c>
      <x:c r="D42" s="102" t="str">
        <x:f>IF(A42="","",'CSF Profile Assessment'!M42)</x:f>
      </x:c>
      <x:c r="E42" s="102" t="str">
        <x:f>IF(A42="","",IF(ISNUMBER('CSF Profile Assessment'!L42),IF('CSF Profile Assessment'!J42&gt;0,"Yes","No"),"Not assessed"))</x:f>
      </x:c>
      <x:c r="F42" s="102" t="str">
        <x:f>IF(A42="","",'CSF Profile Assessment'!O42)</x:f>
      </x:c>
      <x:c r="G42" s="102" t="str">
        <x:f>IF(A42="","",'CSF Profile Assessment'!P42)</x:f>
      </x:c>
      <x:c r="H42" s="102" t="str">
        <x:f>IF(A42="","",'CSF Profile Assessment'!Q42)</x:f>
      </x:c>
      <x:c r="I42" s="138" t="str">
        <x:f>IF(A42="","",IF(ISNUMBER('CSF Profile Assessment'!R42),IF('CSF Profile Assessment'!R42&gt;0,'CSF Profile Assessment'!R42,""),""))</x:f>
      </x:c>
      <x:c r="J42" s="102" t="str">
        <x:f>IF(A42="","",'CSF Profile Assessment'!S42)</x:f>
      </x:c>
      <x:c r="K42" s="102" t="str">
        <x:f>IF(OR(A42="",E42="No",I42=""),"",I42-Methodology!$B$25)</x:f>
      </x:c>
      <x:c r="L42" s="102" t="str">
        <x:f>IF(A42="","",IF('CSF Profile Assessment'!T42="","",'CSF Profile Assessment'!T42))</x:f>
      </x:c>
      <x:c r="M42" s="102" t="str">
        <x:f>IF(A42="","",IF('CSF Profile Assessment'!U42="","",'CSF Profile Assessment'!U42))</x:f>
      </x:c>
      <x:c r="N42" s="102" t="str">
        <x:f>IF(A42="","",IF('CSF Profile Assessment'!V42="","",'CSF Profile Assessment'!V42))</x:f>
      </x:c>
      <x:c r="O42" s="139" t="str">
        <x:f>IF(A42="","",IF('CSF Profile Assessment'!W42="","",'CSF Profile Assessment'!W42))</x:f>
      </x:c>
      <x:c r="P42" s="102" t="str">
        <x:f>IF(A42="","",IF('CSF Profile Assessment'!X42="","",'CSF Profile Assessment'!X42))</x:f>
      </x:c>
      <x:c r="Q42" s="102" t="str">
        <x:f>IF(A42="","",'CSF Profile Assessment'!Y42)</x:f>
      </x:c>
      <x:c r="R42" s="102" t="str">
        <x:f>IF(A42="","",'CSF Profile Assessment'!Z42)</x:f>
      </x:c>
      <x:c r="S42" s="102" t="str">
        <x:f>IF(A42="","",'CSF Profile Assessment'!AA42)</x:f>
      </x:c>
      <x:c r="T42" s="102" t="str">
        <x:f>IF(A42="","",'CSF Profile Assessment'!AB42)</x:f>
      </x:c>
      <x:c r="U42" s="102" t="str">
        <x:f>IF(A42="","",IF(NOT(ISNUMBER('CSF Profile Assessment'!R42)),"Date needed",IF('CSF Profile Assessment'!R42&lt;=0,"Date needed",IF('CSF Profile Assessment'!S42="Closed","Closed",IF('CSF Profile Assessment'!S42="Accepted",IF('CSF Profile Assessment'!R42&lt;Methodology!$B$25,"Acceptance review due","Accepted - review scheduled"),IF('CSF Profile Assessment'!R42&lt;Methodology!$B$25,"Overdue",IF('CSF Profile Assessment'!R42&lt;=Methodology!$B$25+30,"Due within 30 days","Scheduled")))))))</x:f>
      </x:c>
    </x:row>
    <x:row r="43" ht="40" customHeight="1">
      <x:c r="A43" s="102" t="str">
        <x:f>IF('CSF Profile Assessment'!A43="","",'CSF Profile Assessment'!A43)</x:f>
      </x:c>
      <x:c r="B43" s="102" t="str">
        <x:f>IF(A43="","",'CSF Profile Assessment'!B43)</x:f>
      </x:c>
      <x:c r="C43" s="102" t="str">
        <x:f>IF(A43="","",'CSF Profile Assessment'!C43)</x:f>
      </x:c>
      <x:c r="D43" s="102" t="str">
        <x:f>IF(A43="","",'CSF Profile Assessment'!M43)</x:f>
      </x:c>
      <x:c r="E43" s="102" t="str">
        <x:f>IF(A43="","",IF(ISNUMBER('CSF Profile Assessment'!L43),IF('CSF Profile Assessment'!J43&gt;0,"Yes","No"),"Not assessed"))</x:f>
      </x:c>
      <x:c r="F43" s="102" t="str">
        <x:f>IF(A43="","",'CSF Profile Assessment'!O43)</x:f>
      </x:c>
      <x:c r="G43" s="102" t="str">
        <x:f>IF(A43="","",'CSF Profile Assessment'!P43)</x:f>
      </x:c>
      <x:c r="H43" s="102" t="str">
        <x:f>IF(A43="","",'CSF Profile Assessment'!Q43)</x:f>
      </x:c>
      <x:c r="I43" s="138" t="str">
        <x:f>IF(A43="","",IF(ISNUMBER('CSF Profile Assessment'!R43),IF('CSF Profile Assessment'!R43&gt;0,'CSF Profile Assessment'!R43,""),""))</x:f>
      </x:c>
      <x:c r="J43" s="102" t="str">
        <x:f>IF(A43="","",'CSF Profile Assessment'!S43)</x:f>
      </x:c>
      <x:c r="K43" s="102" t="str">
        <x:f>IF(OR(A43="",E43="No",I43=""),"",I43-Methodology!$B$25)</x:f>
      </x:c>
      <x:c r="L43" s="102" t="str">
        <x:f>IF(A43="","",IF('CSF Profile Assessment'!T43="","",'CSF Profile Assessment'!T43))</x:f>
      </x:c>
      <x:c r="M43" s="102" t="str">
        <x:f>IF(A43="","",IF('CSF Profile Assessment'!U43="","",'CSF Profile Assessment'!U43))</x:f>
      </x:c>
      <x:c r="N43" s="102" t="str">
        <x:f>IF(A43="","",IF('CSF Profile Assessment'!V43="","",'CSF Profile Assessment'!V43))</x:f>
      </x:c>
      <x:c r="O43" s="139" t="str">
        <x:f>IF(A43="","",IF('CSF Profile Assessment'!W43="","",'CSF Profile Assessment'!W43))</x:f>
      </x:c>
      <x:c r="P43" s="102" t="str">
        <x:f>IF(A43="","",IF('CSF Profile Assessment'!X43="","",'CSF Profile Assessment'!X43))</x:f>
      </x:c>
      <x:c r="Q43" s="102" t="str">
        <x:f>IF(A43="","",'CSF Profile Assessment'!Y43)</x:f>
      </x:c>
      <x:c r="R43" s="102" t="str">
        <x:f>IF(A43="","",'CSF Profile Assessment'!Z43)</x:f>
      </x:c>
      <x:c r="S43" s="102" t="str">
        <x:f>IF(A43="","",'CSF Profile Assessment'!AA43)</x:f>
      </x:c>
      <x:c r="T43" s="102" t="str">
        <x:f>IF(A43="","",'CSF Profile Assessment'!AB43)</x:f>
      </x:c>
      <x:c r="U43" s="102" t="str">
        <x:f>IF(A43="","",IF(NOT(ISNUMBER('CSF Profile Assessment'!R43)),"Date needed",IF('CSF Profile Assessment'!R43&lt;=0,"Date needed",IF('CSF Profile Assessment'!S43="Closed","Closed",IF('CSF Profile Assessment'!S43="Accepted",IF('CSF Profile Assessment'!R43&lt;Methodology!$B$25,"Acceptance review due","Accepted - review scheduled"),IF('CSF Profile Assessment'!R43&lt;Methodology!$B$25,"Overdue",IF('CSF Profile Assessment'!R43&lt;=Methodology!$B$25+30,"Due within 30 days","Scheduled")))))))</x:f>
      </x:c>
    </x:row>
    <x:row r="44" ht="40" customHeight="1">
      <x:c r="A44" s="102" t="str">
        <x:f>IF('CSF Profile Assessment'!A44="","",'CSF Profile Assessment'!A44)</x:f>
      </x:c>
      <x:c r="B44" s="102" t="str">
        <x:f>IF(A44="","",'CSF Profile Assessment'!B44)</x:f>
      </x:c>
      <x:c r="C44" s="102" t="str">
        <x:f>IF(A44="","",'CSF Profile Assessment'!C44)</x:f>
      </x:c>
      <x:c r="D44" s="102" t="str">
        <x:f>IF(A44="","",'CSF Profile Assessment'!M44)</x:f>
      </x:c>
      <x:c r="E44" s="102" t="str">
        <x:f>IF(A44="","",IF(ISNUMBER('CSF Profile Assessment'!L44),IF('CSF Profile Assessment'!J44&gt;0,"Yes","No"),"Not assessed"))</x:f>
      </x:c>
      <x:c r="F44" s="102" t="str">
        <x:f>IF(A44="","",'CSF Profile Assessment'!O44)</x:f>
      </x:c>
      <x:c r="G44" s="102" t="str">
        <x:f>IF(A44="","",'CSF Profile Assessment'!P44)</x:f>
      </x:c>
      <x:c r="H44" s="102" t="str">
        <x:f>IF(A44="","",'CSF Profile Assessment'!Q44)</x:f>
      </x:c>
      <x:c r="I44" s="138" t="str">
        <x:f>IF(A44="","",IF(ISNUMBER('CSF Profile Assessment'!R44),IF('CSF Profile Assessment'!R44&gt;0,'CSF Profile Assessment'!R44,""),""))</x:f>
      </x:c>
      <x:c r="J44" s="102" t="str">
        <x:f>IF(A44="","",'CSF Profile Assessment'!S44)</x:f>
      </x:c>
      <x:c r="K44" s="102" t="str">
        <x:f>IF(OR(A44="",E44="No",I44=""),"",I44-Methodology!$B$25)</x:f>
      </x:c>
      <x:c r="L44" s="102" t="str">
        <x:f>IF(A44="","",IF('CSF Profile Assessment'!T44="","",'CSF Profile Assessment'!T44))</x:f>
      </x:c>
      <x:c r="M44" s="102" t="str">
        <x:f>IF(A44="","",IF('CSF Profile Assessment'!U44="","",'CSF Profile Assessment'!U44))</x:f>
      </x:c>
      <x:c r="N44" s="102" t="str">
        <x:f>IF(A44="","",IF('CSF Profile Assessment'!V44="","",'CSF Profile Assessment'!V44))</x:f>
      </x:c>
      <x:c r="O44" s="139" t="str">
        <x:f>IF(A44="","",IF('CSF Profile Assessment'!W44="","",'CSF Profile Assessment'!W44))</x:f>
      </x:c>
      <x:c r="P44" s="102" t="str">
        <x:f>IF(A44="","",IF('CSF Profile Assessment'!X44="","",'CSF Profile Assessment'!X44))</x:f>
      </x:c>
      <x:c r="Q44" s="102" t="str">
        <x:f>IF(A44="","",'CSF Profile Assessment'!Y44)</x:f>
      </x:c>
      <x:c r="R44" s="102" t="str">
        <x:f>IF(A44="","",'CSF Profile Assessment'!Z44)</x:f>
      </x:c>
      <x:c r="S44" s="102" t="str">
        <x:f>IF(A44="","",'CSF Profile Assessment'!AA44)</x:f>
      </x:c>
      <x:c r="T44" s="102" t="str">
        <x:f>IF(A44="","",'CSF Profile Assessment'!AB44)</x:f>
      </x:c>
      <x:c r="U44" s="102" t="str">
        <x:f>IF(A44="","",IF(NOT(ISNUMBER('CSF Profile Assessment'!R44)),"Date needed",IF('CSF Profile Assessment'!R44&lt;=0,"Date needed",IF('CSF Profile Assessment'!S44="Closed","Closed",IF('CSF Profile Assessment'!S44="Accepted",IF('CSF Profile Assessment'!R44&lt;Methodology!$B$25,"Acceptance review due","Accepted - review scheduled"),IF('CSF Profile Assessment'!R44&lt;Methodology!$B$25,"Overdue",IF('CSF Profile Assessment'!R44&lt;=Methodology!$B$25+30,"Due within 30 days","Scheduled")))))))</x:f>
      </x:c>
    </x:row>
    <x:row r="45" ht="40" customHeight="1">
      <x:c r="A45" s="102" t="str">
        <x:f>IF('CSF Profile Assessment'!A45="","",'CSF Profile Assessment'!A45)</x:f>
      </x:c>
      <x:c r="B45" s="102" t="str">
        <x:f>IF(A45="","",'CSF Profile Assessment'!B45)</x:f>
      </x:c>
      <x:c r="C45" s="102" t="str">
        <x:f>IF(A45="","",'CSF Profile Assessment'!C45)</x:f>
      </x:c>
      <x:c r="D45" s="102" t="str">
        <x:f>IF(A45="","",'CSF Profile Assessment'!M45)</x:f>
      </x:c>
      <x:c r="E45" s="102" t="str">
        <x:f>IF(A45="","",IF(ISNUMBER('CSF Profile Assessment'!L45),IF('CSF Profile Assessment'!J45&gt;0,"Yes","No"),"Not assessed"))</x:f>
      </x:c>
      <x:c r="F45" s="102" t="str">
        <x:f>IF(A45="","",'CSF Profile Assessment'!O45)</x:f>
      </x:c>
      <x:c r="G45" s="102" t="str">
        <x:f>IF(A45="","",'CSF Profile Assessment'!P45)</x:f>
      </x:c>
      <x:c r="H45" s="102" t="str">
        <x:f>IF(A45="","",'CSF Profile Assessment'!Q45)</x:f>
      </x:c>
      <x:c r="I45" s="138" t="str">
        <x:f>IF(A45="","",IF(ISNUMBER('CSF Profile Assessment'!R45),IF('CSF Profile Assessment'!R45&gt;0,'CSF Profile Assessment'!R45,""),""))</x:f>
      </x:c>
      <x:c r="J45" s="102" t="str">
        <x:f>IF(A45="","",'CSF Profile Assessment'!S45)</x:f>
      </x:c>
      <x:c r="K45" s="102" t="str">
        <x:f>IF(OR(A45="",E45="No",I45=""),"",I45-Methodology!$B$25)</x:f>
      </x:c>
      <x:c r="L45" s="102" t="str">
        <x:f>IF(A45="","",IF('CSF Profile Assessment'!T45="","",'CSF Profile Assessment'!T45))</x:f>
      </x:c>
      <x:c r="M45" s="102" t="str">
        <x:f>IF(A45="","",IF('CSF Profile Assessment'!U45="","",'CSF Profile Assessment'!U45))</x:f>
      </x:c>
      <x:c r="N45" s="102" t="str">
        <x:f>IF(A45="","",IF('CSF Profile Assessment'!V45="","",'CSF Profile Assessment'!V45))</x:f>
      </x:c>
      <x:c r="O45" s="139" t="str">
        <x:f>IF(A45="","",IF('CSF Profile Assessment'!W45="","",'CSF Profile Assessment'!W45))</x:f>
      </x:c>
      <x:c r="P45" s="102" t="str">
        <x:f>IF(A45="","",IF('CSF Profile Assessment'!X45="","",'CSF Profile Assessment'!X45))</x:f>
      </x:c>
      <x:c r="Q45" s="102" t="str">
        <x:f>IF(A45="","",'CSF Profile Assessment'!Y45)</x:f>
      </x:c>
      <x:c r="R45" s="102" t="str">
        <x:f>IF(A45="","",'CSF Profile Assessment'!Z45)</x:f>
      </x:c>
      <x:c r="S45" s="102" t="str">
        <x:f>IF(A45="","",'CSF Profile Assessment'!AA45)</x:f>
      </x:c>
      <x:c r="T45" s="102" t="str">
        <x:f>IF(A45="","",'CSF Profile Assessment'!AB45)</x:f>
      </x:c>
      <x:c r="U45" s="102" t="str">
        <x:f>IF(A45="","",IF(NOT(ISNUMBER('CSF Profile Assessment'!R45)),"Date needed",IF('CSF Profile Assessment'!R45&lt;=0,"Date needed",IF('CSF Profile Assessment'!S45="Closed","Closed",IF('CSF Profile Assessment'!S45="Accepted",IF('CSF Profile Assessment'!R45&lt;Methodology!$B$25,"Acceptance review due","Accepted - review scheduled"),IF('CSF Profile Assessment'!R45&lt;Methodology!$B$25,"Overdue",IF('CSF Profile Assessment'!R45&lt;=Methodology!$B$25+30,"Due within 30 days","Scheduled")))))))</x:f>
      </x:c>
    </x:row>
    <x:row r="46" ht="40" customHeight="1">
      <x:c r="A46" s="102" t="str">
        <x:f>IF('CSF Profile Assessment'!A46="","",'CSF Profile Assessment'!A46)</x:f>
      </x:c>
      <x:c r="B46" s="102" t="str">
        <x:f>IF(A46="","",'CSF Profile Assessment'!B46)</x:f>
      </x:c>
      <x:c r="C46" s="102" t="str">
        <x:f>IF(A46="","",'CSF Profile Assessment'!C46)</x:f>
      </x:c>
      <x:c r="D46" s="102" t="str">
        <x:f>IF(A46="","",'CSF Profile Assessment'!M46)</x:f>
      </x:c>
      <x:c r="E46" s="102" t="str">
        <x:f>IF(A46="","",IF(ISNUMBER('CSF Profile Assessment'!L46),IF('CSF Profile Assessment'!J46&gt;0,"Yes","No"),"Not assessed"))</x:f>
      </x:c>
      <x:c r="F46" s="102" t="str">
        <x:f>IF(A46="","",'CSF Profile Assessment'!O46)</x:f>
      </x:c>
      <x:c r="G46" s="102" t="str">
        <x:f>IF(A46="","",'CSF Profile Assessment'!P46)</x:f>
      </x:c>
      <x:c r="H46" s="102" t="str">
        <x:f>IF(A46="","",'CSF Profile Assessment'!Q46)</x:f>
      </x:c>
      <x:c r="I46" s="138" t="str">
        <x:f>IF(A46="","",IF(ISNUMBER('CSF Profile Assessment'!R46),IF('CSF Profile Assessment'!R46&gt;0,'CSF Profile Assessment'!R46,""),""))</x:f>
      </x:c>
      <x:c r="J46" s="102" t="str">
        <x:f>IF(A46="","",'CSF Profile Assessment'!S46)</x:f>
      </x:c>
      <x:c r="K46" s="102" t="str">
        <x:f>IF(OR(A46="",E46="No",I46=""),"",I46-Methodology!$B$25)</x:f>
      </x:c>
      <x:c r="L46" s="102" t="str">
        <x:f>IF(A46="","",IF('CSF Profile Assessment'!T46="","",'CSF Profile Assessment'!T46))</x:f>
      </x:c>
      <x:c r="M46" s="102" t="str">
        <x:f>IF(A46="","",IF('CSF Profile Assessment'!U46="","",'CSF Profile Assessment'!U46))</x:f>
      </x:c>
      <x:c r="N46" s="102" t="str">
        <x:f>IF(A46="","",IF('CSF Profile Assessment'!V46="","",'CSF Profile Assessment'!V46))</x:f>
      </x:c>
      <x:c r="O46" s="139" t="str">
        <x:f>IF(A46="","",IF('CSF Profile Assessment'!W46="","",'CSF Profile Assessment'!W46))</x:f>
      </x:c>
      <x:c r="P46" s="102" t="str">
        <x:f>IF(A46="","",IF('CSF Profile Assessment'!X46="","",'CSF Profile Assessment'!X46))</x:f>
      </x:c>
      <x:c r="Q46" s="102" t="str">
        <x:f>IF(A46="","",'CSF Profile Assessment'!Y46)</x:f>
      </x:c>
      <x:c r="R46" s="102" t="str">
        <x:f>IF(A46="","",'CSF Profile Assessment'!Z46)</x:f>
      </x:c>
      <x:c r="S46" s="102" t="str">
        <x:f>IF(A46="","",'CSF Profile Assessment'!AA46)</x:f>
      </x:c>
      <x:c r="T46" s="102" t="str">
        <x:f>IF(A46="","",'CSF Profile Assessment'!AB46)</x:f>
      </x:c>
      <x:c r="U46" s="102" t="str">
        <x:f>IF(A46="","",IF(NOT(ISNUMBER('CSF Profile Assessment'!R46)),"Date needed",IF('CSF Profile Assessment'!R46&lt;=0,"Date needed",IF('CSF Profile Assessment'!S46="Closed","Closed",IF('CSF Profile Assessment'!S46="Accepted",IF('CSF Profile Assessment'!R46&lt;Methodology!$B$25,"Acceptance review due","Accepted - review scheduled"),IF('CSF Profile Assessment'!R46&lt;Methodology!$B$25,"Overdue",IF('CSF Profile Assessment'!R46&lt;=Methodology!$B$25+30,"Due within 30 days","Scheduled")))))))</x:f>
      </x:c>
    </x:row>
    <x:row r="47" ht="40" customHeight="1">
      <x:c r="A47" s="102" t="str">
        <x:f>IF('CSF Profile Assessment'!A47="","",'CSF Profile Assessment'!A47)</x:f>
      </x:c>
      <x:c r="B47" s="102" t="str">
        <x:f>IF(A47="","",'CSF Profile Assessment'!B47)</x:f>
      </x:c>
      <x:c r="C47" s="102" t="str">
        <x:f>IF(A47="","",'CSF Profile Assessment'!C47)</x:f>
      </x:c>
      <x:c r="D47" s="102" t="str">
        <x:f>IF(A47="","",'CSF Profile Assessment'!M47)</x:f>
      </x:c>
      <x:c r="E47" s="102" t="str">
        <x:f>IF(A47="","",IF(ISNUMBER('CSF Profile Assessment'!L47),IF('CSF Profile Assessment'!J47&gt;0,"Yes","No"),"Not assessed"))</x:f>
      </x:c>
      <x:c r="F47" s="102" t="str">
        <x:f>IF(A47="","",'CSF Profile Assessment'!O47)</x:f>
      </x:c>
      <x:c r="G47" s="102" t="str">
        <x:f>IF(A47="","",'CSF Profile Assessment'!P47)</x:f>
      </x:c>
      <x:c r="H47" s="102" t="str">
        <x:f>IF(A47="","",'CSF Profile Assessment'!Q47)</x:f>
      </x:c>
      <x:c r="I47" s="138" t="str">
        <x:f>IF(A47="","",IF(ISNUMBER('CSF Profile Assessment'!R47),IF('CSF Profile Assessment'!R47&gt;0,'CSF Profile Assessment'!R47,""),""))</x:f>
      </x:c>
      <x:c r="J47" s="102" t="str">
        <x:f>IF(A47="","",'CSF Profile Assessment'!S47)</x:f>
      </x:c>
      <x:c r="K47" s="102" t="str">
        <x:f>IF(OR(A47="",E47="No",I47=""),"",I47-Methodology!$B$25)</x:f>
      </x:c>
      <x:c r="L47" s="102" t="str">
        <x:f>IF(A47="","",IF('CSF Profile Assessment'!T47="","",'CSF Profile Assessment'!T47))</x:f>
      </x:c>
      <x:c r="M47" s="102" t="str">
        <x:f>IF(A47="","",IF('CSF Profile Assessment'!U47="","",'CSF Profile Assessment'!U47))</x:f>
      </x:c>
      <x:c r="N47" s="102" t="str">
        <x:f>IF(A47="","",IF('CSF Profile Assessment'!V47="","",'CSF Profile Assessment'!V47))</x:f>
      </x:c>
      <x:c r="O47" s="139" t="str">
        <x:f>IF(A47="","",IF('CSF Profile Assessment'!W47="","",'CSF Profile Assessment'!W47))</x:f>
      </x:c>
      <x:c r="P47" s="102" t="str">
        <x:f>IF(A47="","",IF('CSF Profile Assessment'!X47="","",'CSF Profile Assessment'!X47))</x:f>
      </x:c>
      <x:c r="Q47" s="102" t="str">
        <x:f>IF(A47="","",'CSF Profile Assessment'!Y47)</x:f>
      </x:c>
      <x:c r="R47" s="102" t="str">
        <x:f>IF(A47="","",'CSF Profile Assessment'!Z47)</x:f>
      </x:c>
      <x:c r="S47" s="102" t="str">
        <x:f>IF(A47="","",'CSF Profile Assessment'!AA47)</x:f>
      </x:c>
      <x:c r="T47" s="102" t="str">
        <x:f>IF(A47="","",'CSF Profile Assessment'!AB47)</x:f>
      </x:c>
      <x:c r="U47" s="102" t="str">
        <x:f>IF(A47="","",IF(NOT(ISNUMBER('CSF Profile Assessment'!R47)),"Date needed",IF('CSF Profile Assessment'!R47&lt;=0,"Date needed",IF('CSF Profile Assessment'!S47="Closed","Closed",IF('CSF Profile Assessment'!S47="Accepted",IF('CSF Profile Assessment'!R47&lt;Methodology!$B$25,"Acceptance review due","Accepted - review scheduled"),IF('CSF Profile Assessment'!R47&lt;Methodology!$B$25,"Overdue",IF('CSF Profile Assessment'!R47&lt;=Methodology!$B$25+30,"Due within 30 days","Scheduled")))))))</x:f>
      </x:c>
    </x:row>
    <x:row r="48" ht="40" customHeight="1">
      <x:c r="A48" s="102" t="str">
        <x:f>IF('CSF Profile Assessment'!A48="","",'CSF Profile Assessment'!A48)</x:f>
      </x:c>
      <x:c r="B48" s="102" t="str">
        <x:f>IF(A48="","",'CSF Profile Assessment'!B48)</x:f>
      </x:c>
      <x:c r="C48" s="102" t="str">
        <x:f>IF(A48="","",'CSF Profile Assessment'!C48)</x:f>
      </x:c>
      <x:c r="D48" s="102" t="str">
        <x:f>IF(A48="","",'CSF Profile Assessment'!M48)</x:f>
      </x:c>
      <x:c r="E48" s="102" t="str">
        <x:f>IF(A48="","",IF(ISNUMBER('CSF Profile Assessment'!L48),IF('CSF Profile Assessment'!J48&gt;0,"Yes","No"),"Not assessed"))</x:f>
      </x:c>
      <x:c r="F48" s="102" t="str">
        <x:f>IF(A48="","",'CSF Profile Assessment'!O48)</x:f>
      </x:c>
      <x:c r="G48" s="102" t="str">
        <x:f>IF(A48="","",'CSF Profile Assessment'!P48)</x:f>
      </x:c>
      <x:c r="H48" s="102" t="str">
        <x:f>IF(A48="","",'CSF Profile Assessment'!Q48)</x:f>
      </x:c>
      <x:c r="I48" s="138" t="str">
        <x:f>IF(A48="","",IF(ISNUMBER('CSF Profile Assessment'!R48),IF('CSF Profile Assessment'!R48&gt;0,'CSF Profile Assessment'!R48,""),""))</x:f>
      </x:c>
      <x:c r="J48" s="102" t="str">
        <x:f>IF(A48="","",'CSF Profile Assessment'!S48)</x:f>
      </x:c>
      <x:c r="K48" s="102" t="str">
        <x:f>IF(OR(A48="",E48="No",I48=""),"",I48-Methodology!$B$25)</x:f>
      </x:c>
      <x:c r="L48" s="102" t="str">
        <x:f>IF(A48="","",IF('CSF Profile Assessment'!T48="","",'CSF Profile Assessment'!T48))</x:f>
      </x:c>
      <x:c r="M48" s="102" t="str">
        <x:f>IF(A48="","",IF('CSF Profile Assessment'!U48="","",'CSF Profile Assessment'!U48))</x:f>
      </x:c>
      <x:c r="N48" s="102" t="str">
        <x:f>IF(A48="","",IF('CSF Profile Assessment'!V48="","",'CSF Profile Assessment'!V48))</x:f>
      </x:c>
      <x:c r="O48" s="139" t="str">
        <x:f>IF(A48="","",IF('CSF Profile Assessment'!W48="","",'CSF Profile Assessment'!W48))</x:f>
      </x:c>
      <x:c r="P48" s="102" t="str">
        <x:f>IF(A48="","",IF('CSF Profile Assessment'!X48="","",'CSF Profile Assessment'!X48))</x:f>
      </x:c>
      <x:c r="Q48" s="102" t="str">
        <x:f>IF(A48="","",'CSF Profile Assessment'!Y48)</x:f>
      </x:c>
      <x:c r="R48" s="102" t="str">
        <x:f>IF(A48="","",'CSF Profile Assessment'!Z48)</x:f>
      </x:c>
      <x:c r="S48" s="102" t="str">
        <x:f>IF(A48="","",'CSF Profile Assessment'!AA48)</x:f>
      </x:c>
      <x:c r="T48" s="102" t="str">
        <x:f>IF(A48="","",'CSF Profile Assessment'!AB48)</x:f>
      </x:c>
      <x:c r="U48" s="102" t="str">
        <x:f>IF(A48="","",IF(NOT(ISNUMBER('CSF Profile Assessment'!R48)),"Date needed",IF('CSF Profile Assessment'!R48&lt;=0,"Date needed",IF('CSF Profile Assessment'!S48="Closed","Closed",IF('CSF Profile Assessment'!S48="Accepted",IF('CSF Profile Assessment'!R48&lt;Methodology!$B$25,"Acceptance review due","Accepted - review scheduled"),IF('CSF Profile Assessment'!R48&lt;Methodology!$B$25,"Overdue",IF('CSF Profile Assessment'!R48&lt;=Methodology!$B$25+30,"Due within 30 days","Scheduled")))))))</x:f>
      </x:c>
    </x:row>
    <x:row r="49" ht="40" customHeight="1">
      <x:c r="A49" s="102" t="str">
        <x:f>IF('CSF Profile Assessment'!A49="","",'CSF Profile Assessment'!A49)</x:f>
      </x:c>
      <x:c r="B49" s="102" t="str">
        <x:f>IF(A49="","",'CSF Profile Assessment'!B49)</x:f>
      </x:c>
      <x:c r="C49" s="102" t="str">
        <x:f>IF(A49="","",'CSF Profile Assessment'!C49)</x:f>
      </x:c>
      <x:c r="D49" s="102" t="str">
        <x:f>IF(A49="","",'CSF Profile Assessment'!M49)</x:f>
      </x:c>
      <x:c r="E49" s="102" t="str">
        <x:f>IF(A49="","",IF(ISNUMBER('CSF Profile Assessment'!L49),IF('CSF Profile Assessment'!J49&gt;0,"Yes","No"),"Not assessed"))</x:f>
      </x:c>
      <x:c r="F49" s="102" t="str">
        <x:f>IF(A49="","",'CSF Profile Assessment'!O49)</x:f>
      </x:c>
      <x:c r="G49" s="102" t="str">
        <x:f>IF(A49="","",'CSF Profile Assessment'!P49)</x:f>
      </x:c>
      <x:c r="H49" s="102" t="str">
        <x:f>IF(A49="","",'CSF Profile Assessment'!Q49)</x:f>
      </x:c>
      <x:c r="I49" s="138" t="str">
        <x:f>IF(A49="","",IF(ISNUMBER('CSF Profile Assessment'!R49),IF('CSF Profile Assessment'!R49&gt;0,'CSF Profile Assessment'!R49,""),""))</x:f>
      </x:c>
      <x:c r="J49" s="102" t="str">
        <x:f>IF(A49="","",'CSF Profile Assessment'!S49)</x:f>
      </x:c>
      <x:c r="K49" s="102" t="str">
        <x:f>IF(OR(A49="",E49="No",I49=""),"",I49-Methodology!$B$25)</x:f>
      </x:c>
      <x:c r="L49" s="102" t="str">
        <x:f>IF(A49="","",IF('CSF Profile Assessment'!T49="","",'CSF Profile Assessment'!T49))</x:f>
      </x:c>
      <x:c r="M49" s="102" t="str">
        <x:f>IF(A49="","",IF('CSF Profile Assessment'!U49="","",'CSF Profile Assessment'!U49))</x:f>
      </x:c>
      <x:c r="N49" s="102" t="str">
        <x:f>IF(A49="","",IF('CSF Profile Assessment'!V49="","",'CSF Profile Assessment'!V49))</x:f>
      </x:c>
      <x:c r="O49" s="139" t="str">
        <x:f>IF(A49="","",IF('CSF Profile Assessment'!W49="","",'CSF Profile Assessment'!W49))</x:f>
      </x:c>
      <x:c r="P49" s="102" t="str">
        <x:f>IF(A49="","",IF('CSF Profile Assessment'!X49="","",'CSF Profile Assessment'!X49))</x:f>
      </x:c>
      <x:c r="Q49" s="102" t="str">
        <x:f>IF(A49="","",'CSF Profile Assessment'!Y49)</x:f>
      </x:c>
      <x:c r="R49" s="102" t="str">
        <x:f>IF(A49="","",'CSF Profile Assessment'!Z49)</x:f>
      </x:c>
      <x:c r="S49" s="102" t="str">
        <x:f>IF(A49="","",'CSF Profile Assessment'!AA49)</x:f>
      </x:c>
      <x:c r="T49" s="102" t="str">
        <x:f>IF(A49="","",'CSF Profile Assessment'!AB49)</x:f>
      </x:c>
      <x:c r="U49" s="102" t="str">
        <x:f>IF(A49="","",IF(NOT(ISNUMBER('CSF Profile Assessment'!R49)),"Date needed",IF('CSF Profile Assessment'!R49&lt;=0,"Date needed",IF('CSF Profile Assessment'!S49="Closed","Closed",IF('CSF Profile Assessment'!S49="Accepted",IF('CSF Profile Assessment'!R49&lt;Methodology!$B$25,"Acceptance review due","Accepted - review scheduled"),IF('CSF Profile Assessment'!R49&lt;Methodology!$B$25,"Overdue",IF('CSF Profile Assessment'!R49&lt;=Methodology!$B$25+30,"Due within 30 days","Scheduled")))))))</x:f>
      </x:c>
    </x:row>
    <x:row r="50" ht="40" customHeight="1">
      <x:c r="A50" s="102" t="str">
        <x:f>IF('CSF Profile Assessment'!A50="","",'CSF Profile Assessment'!A50)</x:f>
      </x:c>
      <x:c r="B50" s="102" t="str">
        <x:f>IF(A50="","",'CSF Profile Assessment'!B50)</x:f>
      </x:c>
      <x:c r="C50" s="102" t="str">
        <x:f>IF(A50="","",'CSF Profile Assessment'!C50)</x:f>
      </x:c>
      <x:c r="D50" s="102" t="str">
        <x:f>IF(A50="","",'CSF Profile Assessment'!M50)</x:f>
      </x:c>
      <x:c r="E50" s="102" t="str">
        <x:f>IF(A50="","",IF(ISNUMBER('CSF Profile Assessment'!L50),IF('CSF Profile Assessment'!J50&gt;0,"Yes","No"),"Not assessed"))</x:f>
      </x:c>
      <x:c r="F50" s="102" t="str">
        <x:f>IF(A50="","",'CSF Profile Assessment'!O50)</x:f>
      </x:c>
      <x:c r="G50" s="102" t="str">
        <x:f>IF(A50="","",'CSF Profile Assessment'!P50)</x:f>
      </x:c>
      <x:c r="H50" s="102" t="str">
        <x:f>IF(A50="","",'CSF Profile Assessment'!Q50)</x:f>
      </x:c>
      <x:c r="I50" s="138" t="str">
        <x:f>IF(A50="","",IF(ISNUMBER('CSF Profile Assessment'!R50),IF('CSF Profile Assessment'!R50&gt;0,'CSF Profile Assessment'!R50,""),""))</x:f>
      </x:c>
      <x:c r="J50" s="102" t="str">
        <x:f>IF(A50="","",'CSF Profile Assessment'!S50)</x:f>
      </x:c>
      <x:c r="K50" s="102" t="str">
        <x:f>IF(OR(A50="",E50="No",I50=""),"",I50-Methodology!$B$25)</x:f>
      </x:c>
      <x:c r="L50" s="102" t="str">
        <x:f>IF(A50="","",IF('CSF Profile Assessment'!T50="","",'CSF Profile Assessment'!T50))</x:f>
      </x:c>
      <x:c r="M50" s="102" t="str">
        <x:f>IF(A50="","",IF('CSF Profile Assessment'!U50="","",'CSF Profile Assessment'!U50))</x:f>
      </x:c>
      <x:c r="N50" s="102" t="str">
        <x:f>IF(A50="","",IF('CSF Profile Assessment'!V50="","",'CSF Profile Assessment'!V50))</x:f>
      </x:c>
      <x:c r="O50" s="139" t="str">
        <x:f>IF(A50="","",IF('CSF Profile Assessment'!W50="","",'CSF Profile Assessment'!W50))</x:f>
      </x:c>
      <x:c r="P50" s="102" t="str">
        <x:f>IF(A50="","",IF('CSF Profile Assessment'!X50="","",'CSF Profile Assessment'!X50))</x:f>
      </x:c>
      <x:c r="Q50" s="102" t="str">
        <x:f>IF(A50="","",'CSF Profile Assessment'!Y50)</x:f>
      </x:c>
      <x:c r="R50" s="102" t="str">
        <x:f>IF(A50="","",'CSF Profile Assessment'!Z50)</x:f>
      </x:c>
      <x:c r="S50" s="102" t="str">
        <x:f>IF(A50="","",'CSF Profile Assessment'!AA50)</x:f>
      </x:c>
      <x:c r="T50" s="102" t="str">
        <x:f>IF(A50="","",'CSF Profile Assessment'!AB50)</x:f>
      </x:c>
      <x:c r="U50" s="102" t="str">
        <x:f>IF(A50="","",IF(NOT(ISNUMBER('CSF Profile Assessment'!R50)),"Date needed",IF('CSF Profile Assessment'!R50&lt;=0,"Date needed",IF('CSF Profile Assessment'!S50="Closed","Closed",IF('CSF Profile Assessment'!S50="Accepted",IF('CSF Profile Assessment'!R50&lt;Methodology!$B$25,"Acceptance review due","Accepted - review scheduled"),IF('CSF Profile Assessment'!R50&lt;Methodology!$B$25,"Overdue",IF('CSF Profile Assessment'!R50&lt;=Methodology!$B$25+30,"Due within 30 days","Scheduled")))))))</x:f>
      </x:c>
    </x:row>
    <x:row r="51" ht="40" customHeight="1">
      <x:c r="A51" s="102" t="str">
        <x:f>IF('CSF Profile Assessment'!A51="","",'CSF Profile Assessment'!A51)</x:f>
      </x:c>
      <x:c r="B51" s="102" t="str">
        <x:f>IF(A51="","",'CSF Profile Assessment'!B51)</x:f>
      </x:c>
      <x:c r="C51" s="102" t="str">
        <x:f>IF(A51="","",'CSF Profile Assessment'!C51)</x:f>
      </x:c>
      <x:c r="D51" s="102" t="str">
        <x:f>IF(A51="","",'CSF Profile Assessment'!M51)</x:f>
      </x:c>
      <x:c r="E51" s="102" t="str">
        <x:f>IF(A51="","",IF(ISNUMBER('CSF Profile Assessment'!L51),IF('CSF Profile Assessment'!J51&gt;0,"Yes","No"),"Not assessed"))</x:f>
      </x:c>
      <x:c r="F51" s="102" t="str">
        <x:f>IF(A51="","",'CSF Profile Assessment'!O51)</x:f>
      </x:c>
      <x:c r="G51" s="102" t="str">
        <x:f>IF(A51="","",'CSF Profile Assessment'!P51)</x:f>
      </x:c>
      <x:c r="H51" s="102" t="str">
        <x:f>IF(A51="","",'CSF Profile Assessment'!Q51)</x:f>
      </x:c>
      <x:c r="I51" s="138" t="str">
        <x:f>IF(A51="","",IF(ISNUMBER('CSF Profile Assessment'!R51),IF('CSF Profile Assessment'!R51&gt;0,'CSF Profile Assessment'!R51,""),""))</x:f>
      </x:c>
      <x:c r="J51" s="102" t="str">
        <x:f>IF(A51="","",'CSF Profile Assessment'!S51)</x:f>
      </x:c>
      <x:c r="K51" s="102" t="str">
        <x:f>IF(OR(A51="",E51="No",I51=""),"",I51-Methodology!$B$25)</x:f>
      </x:c>
      <x:c r="L51" s="102" t="str">
        <x:f>IF(A51="","",IF('CSF Profile Assessment'!T51="","",'CSF Profile Assessment'!T51))</x:f>
      </x:c>
      <x:c r="M51" s="102" t="str">
        <x:f>IF(A51="","",IF('CSF Profile Assessment'!U51="","",'CSF Profile Assessment'!U51))</x:f>
      </x:c>
      <x:c r="N51" s="102" t="str">
        <x:f>IF(A51="","",IF('CSF Profile Assessment'!V51="","",'CSF Profile Assessment'!V51))</x:f>
      </x:c>
      <x:c r="O51" s="139" t="str">
        <x:f>IF(A51="","",IF('CSF Profile Assessment'!W51="","",'CSF Profile Assessment'!W51))</x:f>
      </x:c>
      <x:c r="P51" s="102" t="str">
        <x:f>IF(A51="","",IF('CSF Profile Assessment'!X51="","",'CSF Profile Assessment'!X51))</x:f>
      </x:c>
      <x:c r="Q51" s="102" t="str">
        <x:f>IF(A51="","",'CSF Profile Assessment'!Y51)</x:f>
      </x:c>
      <x:c r="R51" s="102" t="str">
        <x:f>IF(A51="","",'CSF Profile Assessment'!Z51)</x:f>
      </x:c>
      <x:c r="S51" s="102" t="str">
        <x:f>IF(A51="","",'CSF Profile Assessment'!AA51)</x:f>
      </x:c>
      <x:c r="T51" s="102" t="str">
        <x:f>IF(A51="","",'CSF Profile Assessment'!AB51)</x:f>
      </x:c>
      <x:c r="U51" s="102" t="str">
        <x:f>IF(A51="","",IF(NOT(ISNUMBER('CSF Profile Assessment'!R51)),"Date needed",IF('CSF Profile Assessment'!R51&lt;=0,"Date needed",IF('CSF Profile Assessment'!S51="Closed","Closed",IF('CSF Profile Assessment'!S51="Accepted",IF('CSF Profile Assessment'!R51&lt;Methodology!$B$25,"Acceptance review due","Accepted - review scheduled"),IF('CSF Profile Assessment'!R51&lt;Methodology!$B$25,"Overdue",IF('CSF Profile Assessment'!R51&lt;=Methodology!$B$25+30,"Due within 30 days","Scheduled")))))))</x:f>
      </x:c>
    </x:row>
    <x:row r="52" ht="40" customHeight="1">
      <x:c r="A52" s="102" t="str">
        <x:f>IF('CSF Profile Assessment'!A52="","",'CSF Profile Assessment'!A52)</x:f>
      </x:c>
      <x:c r="B52" s="102" t="str">
        <x:f>IF(A52="","",'CSF Profile Assessment'!B52)</x:f>
      </x:c>
      <x:c r="C52" s="102" t="str">
        <x:f>IF(A52="","",'CSF Profile Assessment'!C52)</x:f>
      </x:c>
      <x:c r="D52" s="102" t="str">
        <x:f>IF(A52="","",'CSF Profile Assessment'!M52)</x:f>
      </x:c>
      <x:c r="E52" s="102" t="str">
        <x:f>IF(A52="","",IF(ISNUMBER('CSF Profile Assessment'!L52),IF('CSF Profile Assessment'!J52&gt;0,"Yes","No"),"Not assessed"))</x:f>
      </x:c>
      <x:c r="F52" s="102" t="str">
        <x:f>IF(A52="","",'CSF Profile Assessment'!O52)</x:f>
      </x:c>
      <x:c r="G52" s="102" t="str">
        <x:f>IF(A52="","",'CSF Profile Assessment'!P52)</x:f>
      </x:c>
      <x:c r="H52" s="102" t="str">
        <x:f>IF(A52="","",'CSF Profile Assessment'!Q52)</x:f>
      </x:c>
      <x:c r="I52" s="138" t="str">
        <x:f>IF(A52="","",IF(ISNUMBER('CSF Profile Assessment'!R52),IF('CSF Profile Assessment'!R52&gt;0,'CSF Profile Assessment'!R52,""),""))</x:f>
      </x:c>
      <x:c r="J52" s="102" t="str">
        <x:f>IF(A52="","",'CSF Profile Assessment'!S52)</x:f>
      </x:c>
      <x:c r="K52" s="102" t="str">
        <x:f>IF(OR(A52="",E52="No",I52=""),"",I52-Methodology!$B$25)</x:f>
      </x:c>
      <x:c r="L52" s="102" t="str">
        <x:f>IF(A52="","",IF('CSF Profile Assessment'!T52="","",'CSF Profile Assessment'!T52))</x:f>
      </x:c>
      <x:c r="M52" s="102" t="str">
        <x:f>IF(A52="","",IF('CSF Profile Assessment'!U52="","",'CSF Profile Assessment'!U52))</x:f>
      </x:c>
      <x:c r="N52" s="102" t="str">
        <x:f>IF(A52="","",IF('CSF Profile Assessment'!V52="","",'CSF Profile Assessment'!V52))</x:f>
      </x:c>
      <x:c r="O52" s="139" t="str">
        <x:f>IF(A52="","",IF('CSF Profile Assessment'!W52="","",'CSF Profile Assessment'!W52))</x:f>
      </x:c>
      <x:c r="P52" s="102" t="str">
        <x:f>IF(A52="","",IF('CSF Profile Assessment'!X52="","",'CSF Profile Assessment'!X52))</x:f>
      </x:c>
      <x:c r="Q52" s="102" t="str">
        <x:f>IF(A52="","",'CSF Profile Assessment'!Y52)</x:f>
      </x:c>
      <x:c r="R52" s="102" t="str">
        <x:f>IF(A52="","",'CSF Profile Assessment'!Z52)</x:f>
      </x:c>
      <x:c r="S52" s="102" t="str">
        <x:f>IF(A52="","",'CSF Profile Assessment'!AA52)</x:f>
      </x:c>
      <x:c r="T52" s="102" t="str">
        <x:f>IF(A52="","",'CSF Profile Assessment'!AB52)</x:f>
      </x:c>
      <x:c r="U52" s="102" t="str">
        <x:f>IF(A52="","",IF(NOT(ISNUMBER('CSF Profile Assessment'!R52)),"Date needed",IF('CSF Profile Assessment'!R52&lt;=0,"Date needed",IF('CSF Profile Assessment'!S52="Closed","Closed",IF('CSF Profile Assessment'!S52="Accepted",IF('CSF Profile Assessment'!R52&lt;Methodology!$B$25,"Acceptance review due","Accepted - review scheduled"),IF('CSF Profile Assessment'!R52&lt;Methodology!$B$25,"Overdue",IF('CSF Profile Assessment'!R52&lt;=Methodology!$B$25+30,"Due within 30 days","Scheduled")))))))</x:f>
      </x:c>
    </x:row>
    <x:row r="53" ht="40" customHeight="1">
      <x:c r="A53" s="102" t="str">
        <x:f>IF('CSF Profile Assessment'!A53="","",'CSF Profile Assessment'!A53)</x:f>
      </x:c>
      <x:c r="B53" s="102" t="str">
        <x:f>IF(A53="","",'CSF Profile Assessment'!B53)</x:f>
      </x:c>
      <x:c r="C53" s="102" t="str">
        <x:f>IF(A53="","",'CSF Profile Assessment'!C53)</x:f>
      </x:c>
      <x:c r="D53" s="102" t="str">
        <x:f>IF(A53="","",'CSF Profile Assessment'!M53)</x:f>
      </x:c>
      <x:c r="E53" s="102" t="str">
        <x:f>IF(A53="","",IF(ISNUMBER('CSF Profile Assessment'!L53),IF('CSF Profile Assessment'!J53&gt;0,"Yes","No"),"Not assessed"))</x:f>
      </x:c>
      <x:c r="F53" s="102" t="str">
        <x:f>IF(A53="","",'CSF Profile Assessment'!O53)</x:f>
      </x:c>
      <x:c r="G53" s="102" t="str">
        <x:f>IF(A53="","",'CSF Profile Assessment'!P53)</x:f>
      </x:c>
      <x:c r="H53" s="102" t="str">
        <x:f>IF(A53="","",'CSF Profile Assessment'!Q53)</x:f>
      </x:c>
      <x:c r="I53" s="138" t="str">
        <x:f>IF(A53="","",IF(ISNUMBER('CSF Profile Assessment'!R53),IF('CSF Profile Assessment'!R53&gt;0,'CSF Profile Assessment'!R53,""),""))</x:f>
      </x:c>
      <x:c r="J53" s="102" t="str">
        <x:f>IF(A53="","",'CSF Profile Assessment'!S53)</x:f>
      </x:c>
      <x:c r="K53" s="102" t="str">
        <x:f>IF(OR(A53="",E53="No",I53=""),"",I53-Methodology!$B$25)</x:f>
      </x:c>
      <x:c r="L53" s="102" t="str">
        <x:f>IF(A53="","",IF('CSF Profile Assessment'!T53="","",'CSF Profile Assessment'!T53))</x:f>
      </x:c>
      <x:c r="M53" s="102" t="str">
        <x:f>IF(A53="","",IF('CSF Profile Assessment'!U53="","",'CSF Profile Assessment'!U53))</x:f>
      </x:c>
      <x:c r="N53" s="102" t="str">
        <x:f>IF(A53="","",IF('CSF Profile Assessment'!V53="","",'CSF Profile Assessment'!V53))</x:f>
      </x:c>
      <x:c r="O53" s="139" t="str">
        <x:f>IF(A53="","",IF('CSF Profile Assessment'!W53="","",'CSF Profile Assessment'!W53))</x:f>
      </x:c>
      <x:c r="P53" s="102" t="str">
        <x:f>IF(A53="","",IF('CSF Profile Assessment'!X53="","",'CSF Profile Assessment'!X53))</x:f>
      </x:c>
      <x:c r="Q53" s="102" t="str">
        <x:f>IF(A53="","",'CSF Profile Assessment'!Y53)</x:f>
      </x:c>
      <x:c r="R53" s="102" t="str">
        <x:f>IF(A53="","",'CSF Profile Assessment'!Z53)</x:f>
      </x:c>
      <x:c r="S53" s="102" t="str">
        <x:f>IF(A53="","",'CSF Profile Assessment'!AA53)</x:f>
      </x:c>
      <x:c r="T53" s="102" t="str">
        <x:f>IF(A53="","",'CSF Profile Assessment'!AB53)</x:f>
      </x:c>
      <x:c r="U53" s="102" t="str">
        <x:f>IF(A53="","",IF(NOT(ISNUMBER('CSF Profile Assessment'!R53)),"Date needed",IF('CSF Profile Assessment'!R53&lt;=0,"Date needed",IF('CSF Profile Assessment'!S53="Closed","Closed",IF('CSF Profile Assessment'!S53="Accepted",IF('CSF Profile Assessment'!R53&lt;Methodology!$B$25,"Acceptance review due","Accepted - review scheduled"),IF('CSF Profile Assessment'!R53&lt;Methodology!$B$25,"Overdue",IF('CSF Profile Assessment'!R53&lt;=Methodology!$B$25+30,"Due within 30 days","Scheduled")))))))</x:f>
      </x:c>
    </x:row>
    <x:row r="54" ht="40" customHeight="1">
      <x:c r="A54" s="102" t="str">
        <x:f>IF('CSF Profile Assessment'!A54="","",'CSF Profile Assessment'!A54)</x:f>
      </x:c>
      <x:c r="B54" s="102" t="str">
        <x:f>IF(A54="","",'CSF Profile Assessment'!B54)</x:f>
      </x:c>
      <x:c r="C54" s="102" t="str">
        <x:f>IF(A54="","",'CSF Profile Assessment'!C54)</x:f>
      </x:c>
      <x:c r="D54" s="102" t="str">
        <x:f>IF(A54="","",'CSF Profile Assessment'!M54)</x:f>
      </x:c>
      <x:c r="E54" s="102" t="str">
        <x:f>IF(A54="","",IF(ISNUMBER('CSF Profile Assessment'!L54),IF('CSF Profile Assessment'!J54&gt;0,"Yes","No"),"Not assessed"))</x:f>
      </x:c>
      <x:c r="F54" s="102" t="str">
        <x:f>IF(A54="","",'CSF Profile Assessment'!O54)</x:f>
      </x:c>
      <x:c r="G54" s="102" t="str">
        <x:f>IF(A54="","",'CSF Profile Assessment'!P54)</x:f>
      </x:c>
      <x:c r="H54" s="102" t="str">
        <x:f>IF(A54="","",'CSF Profile Assessment'!Q54)</x:f>
      </x:c>
      <x:c r="I54" s="138" t="str">
        <x:f>IF(A54="","",IF(ISNUMBER('CSF Profile Assessment'!R54),IF('CSF Profile Assessment'!R54&gt;0,'CSF Profile Assessment'!R54,""),""))</x:f>
      </x:c>
      <x:c r="J54" s="102" t="str">
        <x:f>IF(A54="","",'CSF Profile Assessment'!S54)</x:f>
      </x:c>
      <x:c r="K54" s="102" t="str">
        <x:f>IF(OR(A54="",E54="No",I54=""),"",I54-Methodology!$B$25)</x:f>
      </x:c>
      <x:c r="L54" s="102" t="str">
        <x:f>IF(A54="","",IF('CSF Profile Assessment'!T54="","",'CSF Profile Assessment'!T54))</x:f>
      </x:c>
      <x:c r="M54" s="102" t="str">
        <x:f>IF(A54="","",IF('CSF Profile Assessment'!U54="","",'CSF Profile Assessment'!U54))</x:f>
      </x:c>
      <x:c r="N54" s="102" t="str">
        <x:f>IF(A54="","",IF('CSF Profile Assessment'!V54="","",'CSF Profile Assessment'!V54))</x:f>
      </x:c>
      <x:c r="O54" s="139" t="str">
        <x:f>IF(A54="","",IF('CSF Profile Assessment'!W54="","",'CSF Profile Assessment'!W54))</x:f>
      </x:c>
      <x:c r="P54" s="102" t="str">
        <x:f>IF(A54="","",IF('CSF Profile Assessment'!X54="","",'CSF Profile Assessment'!X54))</x:f>
      </x:c>
      <x:c r="Q54" s="102" t="str">
        <x:f>IF(A54="","",'CSF Profile Assessment'!Y54)</x:f>
      </x:c>
      <x:c r="R54" s="102" t="str">
        <x:f>IF(A54="","",'CSF Profile Assessment'!Z54)</x:f>
      </x:c>
      <x:c r="S54" s="102" t="str">
        <x:f>IF(A54="","",'CSF Profile Assessment'!AA54)</x:f>
      </x:c>
      <x:c r="T54" s="102" t="str">
        <x:f>IF(A54="","",'CSF Profile Assessment'!AB54)</x:f>
      </x:c>
      <x:c r="U54" s="102" t="str">
        <x:f>IF(A54="","",IF(NOT(ISNUMBER('CSF Profile Assessment'!R54)),"Date needed",IF('CSF Profile Assessment'!R54&lt;=0,"Date needed",IF('CSF Profile Assessment'!S54="Closed","Closed",IF('CSF Profile Assessment'!S54="Accepted",IF('CSF Profile Assessment'!R54&lt;Methodology!$B$25,"Acceptance review due","Accepted - review scheduled"),IF('CSF Profile Assessment'!R54&lt;Methodology!$B$25,"Overdue",IF('CSF Profile Assessment'!R54&lt;=Methodology!$B$25+30,"Due within 30 days","Scheduled")))))))</x:f>
      </x:c>
    </x:row>
    <x:row r="55" ht="40" customHeight="1">
      <x:c r="A55" s="102" t="str">
        <x:f>IF('CSF Profile Assessment'!A55="","",'CSF Profile Assessment'!A55)</x:f>
      </x:c>
      <x:c r="B55" s="102" t="str">
        <x:f>IF(A55="","",'CSF Profile Assessment'!B55)</x:f>
      </x:c>
      <x:c r="C55" s="102" t="str">
        <x:f>IF(A55="","",'CSF Profile Assessment'!C55)</x:f>
      </x:c>
      <x:c r="D55" s="102" t="str">
        <x:f>IF(A55="","",'CSF Profile Assessment'!M55)</x:f>
      </x:c>
      <x:c r="E55" s="102" t="str">
        <x:f>IF(A55="","",IF(ISNUMBER('CSF Profile Assessment'!L55),IF('CSF Profile Assessment'!J55&gt;0,"Yes","No"),"Not assessed"))</x:f>
      </x:c>
      <x:c r="F55" s="102" t="str">
        <x:f>IF(A55="","",'CSF Profile Assessment'!O55)</x:f>
      </x:c>
      <x:c r="G55" s="102" t="str">
        <x:f>IF(A55="","",'CSF Profile Assessment'!P55)</x:f>
      </x:c>
      <x:c r="H55" s="102" t="str">
        <x:f>IF(A55="","",'CSF Profile Assessment'!Q55)</x:f>
      </x:c>
      <x:c r="I55" s="138" t="str">
        <x:f>IF(A55="","",IF(ISNUMBER('CSF Profile Assessment'!R55),IF('CSF Profile Assessment'!R55&gt;0,'CSF Profile Assessment'!R55,""),""))</x:f>
      </x:c>
      <x:c r="J55" s="102" t="str">
        <x:f>IF(A55="","",'CSF Profile Assessment'!S55)</x:f>
      </x:c>
      <x:c r="K55" s="102" t="str">
        <x:f>IF(OR(A55="",E55="No",I55=""),"",I55-Methodology!$B$25)</x:f>
      </x:c>
      <x:c r="L55" s="102" t="str">
        <x:f>IF(A55="","",IF('CSF Profile Assessment'!T55="","",'CSF Profile Assessment'!T55))</x:f>
      </x:c>
      <x:c r="M55" s="102" t="str">
        <x:f>IF(A55="","",IF('CSF Profile Assessment'!U55="","",'CSF Profile Assessment'!U55))</x:f>
      </x:c>
      <x:c r="N55" s="102" t="str">
        <x:f>IF(A55="","",IF('CSF Profile Assessment'!V55="","",'CSF Profile Assessment'!V55))</x:f>
      </x:c>
      <x:c r="O55" s="139" t="str">
        <x:f>IF(A55="","",IF('CSF Profile Assessment'!W55="","",'CSF Profile Assessment'!W55))</x:f>
      </x:c>
      <x:c r="P55" s="102" t="str">
        <x:f>IF(A55="","",IF('CSF Profile Assessment'!X55="","",'CSF Profile Assessment'!X55))</x:f>
      </x:c>
      <x:c r="Q55" s="102" t="str">
        <x:f>IF(A55="","",'CSF Profile Assessment'!Y55)</x:f>
      </x:c>
      <x:c r="R55" s="102" t="str">
        <x:f>IF(A55="","",'CSF Profile Assessment'!Z55)</x:f>
      </x:c>
      <x:c r="S55" s="102" t="str">
        <x:f>IF(A55="","",'CSF Profile Assessment'!AA55)</x:f>
      </x:c>
      <x:c r="T55" s="102" t="str">
        <x:f>IF(A55="","",'CSF Profile Assessment'!AB55)</x:f>
      </x:c>
      <x:c r="U55" s="102" t="str">
        <x:f>IF(A55="","",IF(NOT(ISNUMBER('CSF Profile Assessment'!R55)),"Date needed",IF('CSF Profile Assessment'!R55&lt;=0,"Date needed",IF('CSF Profile Assessment'!S55="Closed","Closed",IF('CSF Profile Assessment'!S55="Accepted",IF('CSF Profile Assessment'!R55&lt;Methodology!$B$25,"Acceptance review due","Accepted - review scheduled"),IF('CSF Profile Assessment'!R55&lt;Methodology!$B$25,"Overdue",IF('CSF Profile Assessment'!R55&lt;=Methodology!$B$25+30,"Due within 30 days","Scheduled")))))))</x:f>
      </x:c>
    </x:row>
    <x:row r="56" ht="40" customHeight="1">
      <x:c r="A56" s="102" t="str">
        <x:f>IF('CSF Profile Assessment'!A56="","",'CSF Profile Assessment'!A56)</x:f>
      </x:c>
      <x:c r="B56" s="102" t="str">
        <x:f>IF(A56="","",'CSF Profile Assessment'!B56)</x:f>
      </x:c>
      <x:c r="C56" s="102" t="str">
        <x:f>IF(A56="","",'CSF Profile Assessment'!C56)</x:f>
      </x:c>
      <x:c r="D56" s="102" t="str">
        <x:f>IF(A56="","",'CSF Profile Assessment'!M56)</x:f>
      </x:c>
      <x:c r="E56" s="102" t="str">
        <x:f>IF(A56="","",IF(ISNUMBER('CSF Profile Assessment'!L56),IF('CSF Profile Assessment'!J56&gt;0,"Yes","No"),"Not assessed"))</x:f>
      </x:c>
      <x:c r="F56" s="102" t="str">
        <x:f>IF(A56="","",'CSF Profile Assessment'!O56)</x:f>
      </x:c>
      <x:c r="G56" s="102" t="str">
        <x:f>IF(A56="","",'CSF Profile Assessment'!P56)</x:f>
      </x:c>
      <x:c r="H56" s="102" t="str">
        <x:f>IF(A56="","",'CSF Profile Assessment'!Q56)</x:f>
      </x:c>
      <x:c r="I56" s="138" t="str">
        <x:f>IF(A56="","",IF(ISNUMBER('CSF Profile Assessment'!R56),IF('CSF Profile Assessment'!R56&gt;0,'CSF Profile Assessment'!R56,""),""))</x:f>
      </x:c>
      <x:c r="J56" s="102" t="str">
        <x:f>IF(A56="","",'CSF Profile Assessment'!S56)</x:f>
      </x:c>
      <x:c r="K56" s="102" t="str">
        <x:f>IF(OR(A56="",E56="No",I56=""),"",I56-Methodology!$B$25)</x:f>
      </x:c>
      <x:c r="L56" s="102" t="str">
        <x:f>IF(A56="","",IF('CSF Profile Assessment'!T56="","",'CSF Profile Assessment'!T56))</x:f>
      </x:c>
      <x:c r="M56" s="102" t="str">
        <x:f>IF(A56="","",IF('CSF Profile Assessment'!U56="","",'CSF Profile Assessment'!U56))</x:f>
      </x:c>
      <x:c r="N56" s="102" t="str">
        <x:f>IF(A56="","",IF('CSF Profile Assessment'!V56="","",'CSF Profile Assessment'!V56))</x:f>
      </x:c>
      <x:c r="O56" s="139" t="str">
        <x:f>IF(A56="","",IF('CSF Profile Assessment'!W56="","",'CSF Profile Assessment'!W56))</x:f>
      </x:c>
      <x:c r="P56" s="102" t="str">
        <x:f>IF(A56="","",IF('CSF Profile Assessment'!X56="","",'CSF Profile Assessment'!X56))</x:f>
      </x:c>
      <x:c r="Q56" s="102" t="str">
        <x:f>IF(A56="","",'CSF Profile Assessment'!Y56)</x:f>
      </x:c>
      <x:c r="R56" s="102" t="str">
        <x:f>IF(A56="","",'CSF Profile Assessment'!Z56)</x:f>
      </x:c>
      <x:c r="S56" s="102" t="str">
        <x:f>IF(A56="","",'CSF Profile Assessment'!AA56)</x:f>
      </x:c>
      <x:c r="T56" s="102" t="str">
        <x:f>IF(A56="","",'CSF Profile Assessment'!AB56)</x:f>
      </x:c>
      <x:c r="U56" s="102" t="str">
        <x:f>IF(A56="","",IF(NOT(ISNUMBER('CSF Profile Assessment'!R56)),"Date needed",IF('CSF Profile Assessment'!R56&lt;=0,"Date needed",IF('CSF Profile Assessment'!S56="Closed","Closed",IF('CSF Profile Assessment'!S56="Accepted",IF('CSF Profile Assessment'!R56&lt;Methodology!$B$25,"Acceptance review due","Accepted - review scheduled"),IF('CSF Profile Assessment'!R56&lt;Methodology!$B$25,"Overdue",IF('CSF Profile Assessment'!R56&lt;=Methodology!$B$25+30,"Due within 30 days","Scheduled")))))))</x:f>
      </x:c>
    </x:row>
    <x:row r="57" ht="40" customHeight="1">
      <x:c r="A57" s="102" t="str">
        <x:f>IF('CSF Profile Assessment'!A57="","",'CSF Profile Assessment'!A57)</x:f>
      </x:c>
      <x:c r="B57" s="102" t="str">
        <x:f>IF(A57="","",'CSF Profile Assessment'!B57)</x:f>
      </x:c>
      <x:c r="C57" s="102" t="str">
        <x:f>IF(A57="","",'CSF Profile Assessment'!C57)</x:f>
      </x:c>
      <x:c r="D57" s="102" t="str">
        <x:f>IF(A57="","",'CSF Profile Assessment'!M57)</x:f>
      </x:c>
      <x:c r="E57" s="102" t="str">
        <x:f>IF(A57="","",IF(ISNUMBER('CSF Profile Assessment'!L57),IF('CSF Profile Assessment'!J57&gt;0,"Yes","No"),"Not assessed"))</x:f>
      </x:c>
      <x:c r="F57" s="102" t="str">
        <x:f>IF(A57="","",'CSF Profile Assessment'!O57)</x:f>
      </x:c>
      <x:c r="G57" s="102" t="str">
        <x:f>IF(A57="","",'CSF Profile Assessment'!P57)</x:f>
      </x:c>
      <x:c r="H57" s="102" t="str">
        <x:f>IF(A57="","",'CSF Profile Assessment'!Q57)</x:f>
      </x:c>
      <x:c r="I57" s="138" t="str">
        <x:f>IF(A57="","",IF(ISNUMBER('CSF Profile Assessment'!R57),IF('CSF Profile Assessment'!R57&gt;0,'CSF Profile Assessment'!R57,""),""))</x:f>
      </x:c>
      <x:c r="J57" s="102" t="str">
        <x:f>IF(A57="","",'CSF Profile Assessment'!S57)</x:f>
      </x:c>
      <x:c r="K57" s="102" t="str">
        <x:f>IF(OR(A57="",E57="No",I57=""),"",I57-Methodology!$B$25)</x:f>
      </x:c>
      <x:c r="L57" s="102" t="str">
        <x:f>IF(A57="","",IF('CSF Profile Assessment'!T57="","",'CSF Profile Assessment'!T57))</x:f>
      </x:c>
      <x:c r="M57" s="102" t="str">
        <x:f>IF(A57="","",IF('CSF Profile Assessment'!U57="","",'CSF Profile Assessment'!U57))</x:f>
      </x:c>
      <x:c r="N57" s="102" t="str">
        <x:f>IF(A57="","",IF('CSF Profile Assessment'!V57="","",'CSF Profile Assessment'!V57))</x:f>
      </x:c>
      <x:c r="O57" s="139" t="str">
        <x:f>IF(A57="","",IF('CSF Profile Assessment'!W57="","",'CSF Profile Assessment'!W57))</x:f>
      </x:c>
      <x:c r="P57" s="102" t="str">
        <x:f>IF(A57="","",IF('CSF Profile Assessment'!X57="","",'CSF Profile Assessment'!X57))</x:f>
      </x:c>
      <x:c r="Q57" s="102" t="str">
        <x:f>IF(A57="","",'CSF Profile Assessment'!Y57)</x:f>
      </x:c>
      <x:c r="R57" s="102" t="str">
        <x:f>IF(A57="","",'CSF Profile Assessment'!Z57)</x:f>
      </x:c>
      <x:c r="S57" s="102" t="str">
        <x:f>IF(A57="","",'CSF Profile Assessment'!AA57)</x:f>
      </x:c>
      <x:c r="T57" s="102" t="str">
        <x:f>IF(A57="","",'CSF Profile Assessment'!AB57)</x:f>
      </x:c>
      <x:c r="U57" s="102" t="str">
        <x:f>IF(A57="","",IF(NOT(ISNUMBER('CSF Profile Assessment'!R57)),"Date needed",IF('CSF Profile Assessment'!R57&lt;=0,"Date needed",IF('CSF Profile Assessment'!S57="Closed","Closed",IF('CSF Profile Assessment'!S57="Accepted",IF('CSF Profile Assessment'!R57&lt;Methodology!$B$25,"Acceptance review due","Accepted - review scheduled"),IF('CSF Profile Assessment'!R57&lt;Methodology!$B$25,"Overdue",IF('CSF Profile Assessment'!R57&lt;=Methodology!$B$25+30,"Due within 30 days","Scheduled")))))))</x:f>
      </x:c>
    </x:row>
    <x:row r="58" ht="40" customHeight="1">
      <x:c r="A58" s="102" t="str">
        <x:f>IF('CSF Profile Assessment'!A58="","",'CSF Profile Assessment'!A58)</x:f>
      </x:c>
      <x:c r="B58" s="102" t="str">
        <x:f>IF(A58="","",'CSF Profile Assessment'!B58)</x:f>
      </x:c>
      <x:c r="C58" s="102" t="str">
        <x:f>IF(A58="","",'CSF Profile Assessment'!C58)</x:f>
      </x:c>
      <x:c r="D58" s="102" t="str">
        <x:f>IF(A58="","",'CSF Profile Assessment'!M58)</x:f>
      </x:c>
      <x:c r="E58" s="102" t="str">
        <x:f>IF(A58="","",IF(ISNUMBER('CSF Profile Assessment'!L58),IF('CSF Profile Assessment'!J58&gt;0,"Yes","No"),"Not assessed"))</x:f>
      </x:c>
      <x:c r="F58" s="102" t="str">
        <x:f>IF(A58="","",'CSF Profile Assessment'!O58)</x:f>
      </x:c>
      <x:c r="G58" s="102" t="str">
        <x:f>IF(A58="","",'CSF Profile Assessment'!P58)</x:f>
      </x:c>
      <x:c r="H58" s="102" t="str">
        <x:f>IF(A58="","",'CSF Profile Assessment'!Q58)</x:f>
      </x:c>
      <x:c r="I58" s="138" t="str">
        <x:f>IF(A58="","",IF(ISNUMBER('CSF Profile Assessment'!R58),IF('CSF Profile Assessment'!R58&gt;0,'CSF Profile Assessment'!R58,""),""))</x:f>
      </x:c>
      <x:c r="J58" s="102" t="str">
        <x:f>IF(A58="","",'CSF Profile Assessment'!S58)</x:f>
      </x:c>
      <x:c r="K58" s="102" t="str">
        <x:f>IF(OR(A58="",E58="No",I58=""),"",I58-Methodology!$B$25)</x:f>
      </x:c>
      <x:c r="L58" s="102" t="str">
        <x:f>IF(A58="","",IF('CSF Profile Assessment'!T58="","",'CSF Profile Assessment'!T58))</x:f>
      </x:c>
      <x:c r="M58" s="102" t="str">
        <x:f>IF(A58="","",IF('CSF Profile Assessment'!U58="","",'CSF Profile Assessment'!U58))</x:f>
      </x:c>
      <x:c r="N58" s="102" t="str">
        <x:f>IF(A58="","",IF('CSF Profile Assessment'!V58="","",'CSF Profile Assessment'!V58))</x:f>
      </x:c>
      <x:c r="O58" s="139" t="str">
        <x:f>IF(A58="","",IF('CSF Profile Assessment'!W58="","",'CSF Profile Assessment'!W58))</x:f>
      </x:c>
      <x:c r="P58" s="102" t="str">
        <x:f>IF(A58="","",IF('CSF Profile Assessment'!X58="","",'CSF Profile Assessment'!X58))</x:f>
      </x:c>
      <x:c r="Q58" s="102" t="str">
        <x:f>IF(A58="","",'CSF Profile Assessment'!Y58)</x:f>
      </x:c>
      <x:c r="R58" s="102" t="str">
        <x:f>IF(A58="","",'CSF Profile Assessment'!Z58)</x:f>
      </x:c>
      <x:c r="S58" s="102" t="str">
        <x:f>IF(A58="","",'CSF Profile Assessment'!AA58)</x:f>
      </x:c>
      <x:c r="T58" s="102" t="str">
        <x:f>IF(A58="","",'CSF Profile Assessment'!AB58)</x:f>
      </x:c>
      <x:c r="U58" s="102" t="str">
        <x:f>IF(A58="","",IF(NOT(ISNUMBER('CSF Profile Assessment'!R58)),"Date needed",IF('CSF Profile Assessment'!R58&lt;=0,"Date needed",IF('CSF Profile Assessment'!S58="Closed","Closed",IF('CSF Profile Assessment'!S58="Accepted",IF('CSF Profile Assessment'!R58&lt;Methodology!$B$25,"Acceptance review due","Accepted - review scheduled"),IF('CSF Profile Assessment'!R58&lt;Methodology!$B$25,"Overdue",IF('CSF Profile Assessment'!R58&lt;=Methodology!$B$25+30,"Due within 30 days","Scheduled")))))))</x:f>
      </x:c>
    </x:row>
    <x:row r="59" ht="40" customHeight="1">
      <x:c r="A59" s="102" t="str">
        <x:f>IF('CSF Profile Assessment'!A59="","",'CSF Profile Assessment'!A59)</x:f>
      </x:c>
      <x:c r="B59" s="102" t="str">
        <x:f>IF(A59="","",'CSF Profile Assessment'!B59)</x:f>
      </x:c>
      <x:c r="C59" s="102" t="str">
        <x:f>IF(A59="","",'CSF Profile Assessment'!C59)</x:f>
      </x:c>
      <x:c r="D59" s="102" t="str">
        <x:f>IF(A59="","",'CSF Profile Assessment'!M59)</x:f>
      </x:c>
      <x:c r="E59" s="102" t="str">
        <x:f>IF(A59="","",IF(ISNUMBER('CSF Profile Assessment'!L59),IF('CSF Profile Assessment'!J59&gt;0,"Yes","No"),"Not assessed"))</x:f>
      </x:c>
      <x:c r="F59" s="102" t="str">
        <x:f>IF(A59="","",'CSF Profile Assessment'!O59)</x:f>
      </x:c>
      <x:c r="G59" s="102" t="str">
        <x:f>IF(A59="","",'CSF Profile Assessment'!P59)</x:f>
      </x:c>
      <x:c r="H59" s="102" t="str">
        <x:f>IF(A59="","",'CSF Profile Assessment'!Q59)</x:f>
      </x:c>
      <x:c r="I59" s="138" t="str">
        <x:f>IF(A59="","",IF(ISNUMBER('CSF Profile Assessment'!R59),IF('CSF Profile Assessment'!R59&gt;0,'CSF Profile Assessment'!R59,""),""))</x:f>
      </x:c>
      <x:c r="J59" s="102" t="str">
        <x:f>IF(A59="","",'CSF Profile Assessment'!S59)</x:f>
      </x:c>
      <x:c r="K59" s="102" t="str">
        <x:f>IF(OR(A59="",E59="No",I59=""),"",I59-Methodology!$B$25)</x:f>
      </x:c>
      <x:c r="L59" s="102" t="str">
        <x:f>IF(A59="","",IF('CSF Profile Assessment'!T59="","",'CSF Profile Assessment'!T59))</x:f>
      </x:c>
      <x:c r="M59" s="102" t="str">
        <x:f>IF(A59="","",IF('CSF Profile Assessment'!U59="","",'CSF Profile Assessment'!U59))</x:f>
      </x:c>
      <x:c r="N59" s="102" t="str">
        <x:f>IF(A59="","",IF('CSF Profile Assessment'!V59="","",'CSF Profile Assessment'!V59))</x:f>
      </x:c>
      <x:c r="O59" s="139" t="str">
        <x:f>IF(A59="","",IF('CSF Profile Assessment'!W59="","",'CSF Profile Assessment'!W59))</x:f>
      </x:c>
      <x:c r="P59" s="102" t="str">
        <x:f>IF(A59="","",IF('CSF Profile Assessment'!X59="","",'CSF Profile Assessment'!X59))</x:f>
      </x:c>
      <x:c r="Q59" s="102" t="str">
        <x:f>IF(A59="","",'CSF Profile Assessment'!Y59)</x:f>
      </x:c>
      <x:c r="R59" s="102" t="str">
        <x:f>IF(A59="","",'CSF Profile Assessment'!Z59)</x:f>
      </x:c>
      <x:c r="S59" s="102" t="str">
        <x:f>IF(A59="","",'CSF Profile Assessment'!AA59)</x:f>
      </x:c>
      <x:c r="T59" s="102" t="str">
        <x:f>IF(A59="","",'CSF Profile Assessment'!AB59)</x:f>
      </x:c>
      <x:c r="U59" s="102" t="str">
        <x:f>IF(A59="","",IF(NOT(ISNUMBER('CSF Profile Assessment'!R59)),"Date needed",IF('CSF Profile Assessment'!R59&lt;=0,"Date needed",IF('CSF Profile Assessment'!S59="Closed","Closed",IF('CSF Profile Assessment'!S59="Accepted",IF('CSF Profile Assessment'!R59&lt;Methodology!$B$25,"Acceptance review due","Accepted - review scheduled"),IF('CSF Profile Assessment'!R59&lt;Methodology!$B$25,"Overdue",IF('CSF Profile Assessment'!R59&lt;=Methodology!$B$25+30,"Due within 30 days","Scheduled")))))))</x:f>
      </x:c>
    </x:row>
    <x:row r="60" ht="40" customHeight="1">
      <x:c r="A60" s="102" t="str">
        <x:f>IF('CSF Profile Assessment'!A60="","",'CSF Profile Assessment'!A60)</x:f>
      </x:c>
      <x:c r="B60" s="102" t="str">
        <x:f>IF(A60="","",'CSF Profile Assessment'!B60)</x:f>
      </x:c>
      <x:c r="C60" s="102" t="str">
        <x:f>IF(A60="","",'CSF Profile Assessment'!C60)</x:f>
      </x:c>
      <x:c r="D60" s="102" t="str">
        <x:f>IF(A60="","",'CSF Profile Assessment'!M60)</x:f>
      </x:c>
      <x:c r="E60" s="102" t="str">
        <x:f>IF(A60="","",IF(ISNUMBER('CSF Profile Assessment'!L60),IF('CSF Profile Assessment'!J60&gt;0,"Yes","No"),"Not assessed"))</x:f>
      </x:c>
      <x:c r="F60" s="102" t="str">
        <x:f>IF(A60="","",'CSF Profile Assessment'!O60)</x:f>
      </x:c>
      <x:c r="G60" s="102" t="str">
        <x:f>IF(A60="","",'CSF Profile Assessment'!P60)</x:f>
      </x:c>
      <x:c r="H60" s="102" t="str">
        <x:f>IF(A60="","",'CSF Profile Assessment'!Q60)</x:f>
      </x:c>
      <x:c r="I60" s="138" t="str">
        <x:f>IF(A60="","",IF(ISNUMBER('CSF Profile Assessment'!R60),IF('CSF Profile Assessment'!R60&gt;0,'CSF Profile Assessment'!R60,""),""))</x:f>
      </x:c>
      <x:c r="J60" s="102" t="str">
        <x:f>IF(A60="","",'CSF Profile Assessment'!S60)</x:f>
      </x:c>
      <x:c r="K60" s="102" t="str">
        <x:f>IF(OR(A60="",E60="No",I60=""),"",I60-Methodology!$B$25)</x:f>
      </x:c>
      <x:c r="L60" s="102" t="str">
        <x:f>IF(A60="","",IF('CSF Profile Assessment'!T60="","",'CSF Profile Assessment'!T60))</x:f>
      </x:c>
      <x:c r="M60" s="102" t="str">
        <x:f>IF(A60="","",IF('CSF Profile Assessment'!U60="","",'CSF Profile Assessment'!U60))</x:f>
      </x:c>
      <x:c r="N60" s="102" t="str">
        <x:f>IF(A60="","",IF('CSF Profile Assessment'!V60="","",'CSF Profile Assessment'!V60))</x:f>
      </x:c>
      <x:c r="O60" s="139" t="str">
        <x:f>IF(A60="","",IF('CSF Profile Assessment'!W60="","",'CSF Profile Assessment'!W60))</x:f>
      </x:c>
      <x:c r="P60" s="102" t="str">
        <x:f>IF(A60="","",IF('CSF Profile Assessment'!X60="","",'CSF Profile Assessment'!X60))</x:f>
      </x:c>
      <x:c r="Q60" s="102" t="str">
        <x:f>IF(A60="","",'CSF Profile Assessment'!Y60)</x:f>
      </x:c>
      <x:c r="R60" s="102" t="str">
        <x:f>IF(A60="","",'CSF Profile Assessment'!Z60)</x:f>
      </x:c>
      <x:c r="S60" s="102" t="str">
        <x:f>IF(A60="","",'CSF Profile Assessment'!AA60)</x:f>
      </x:c>
      <x:c r="T60" s="102" t="str">
        <x:f>IF(A60="","",'CSF Profile Assessment'!AB60)</x:f>
      </x:c>
      <x:c r="U60" s="102" t="str">
        <x:f>IF(A60="","",IF(NOT(ISNUMBER('CSF Profile Assessment'!R60)),"Date needed",IF('CSF Profile Assessment'!R60&lt;=0,"Date needed",IF('CSF Profile Assessment'!S60="Closed","Closed",IF('CSF Profile Assessment'!S60="Accepted",IF('CSF Profile Assessment'!R60&lt;Methodology!$B$25,"Acceptance review due","Accepted - review scheduled"),IF('CSF Profile Assessment'!R60&lt;Methodology!$B$25,"Overdue",IF('CSF Profile Assessment'!R60&lt;=Methodology!$B$25+30,"Due within 30 days","Scheduled")))))))</x:f>
      </x:c>
    </x:row>
    <x:row r="61" ht="40" customHeight="1">
      <x:c r="A61" s="102" t="str">
        <x:f>IF('CSF Profile Assessment'!A61="","",'CSF Profile Assessment'!A61)</x:f>
      </x:c>
      <x:c r="B61" s="102" t="str">
        <x:f>IF(A61="","",'CSF Profile Assessment'!B61)</x:f>
      </x:c>
      <x:c r="C61" s="102" t="str">
        <x:f>IF(A61="","",'CSF Profile Assessment'!C61)</x:f>
      </x:c>
      <x:c r="D61" s="102" t="str">
        <x:f>IF(A61="","",'CSF Profile Assessment'!M61)</x:f>
      </x:c>
      <x:c r="E61" s="102" t="str">
        <x:f>IF(A61="","",IF(ISNUMBER('CSF Profile Assessment'!L61),IF('CSF Profile Assessment'!J61&gt;0,"Yes","No"),"Not assessed"))</x:f>
      </x:c>
      <x:c r="F61" s="102" t="str">
        <x:f>IF(A61="","",'CSF Profile Assessment'!O61)</x:f>
      </x:c>
      <x:c r="G61" s="102" t="str">
        <x:f>IF(A61="","",'CSF Profile Assessment'!P61)</x:f>
      </x:c>
      <x:c r="H61" s="102" t="str">
        <x:f>IF(A61="","",'CSF Profile Assessment'!Q61)</x:f>
      </x:c>
      <x:c r="I61" s="138" t="str">
        <x:f>IF(A61="","",IF(ISNUMBER('CSF Profile Assessment'!R61),IF('CSF Profile Assessment'!R61&gt;0,'CSF Profile Assessment'!R61,""),""))</x:f>
      </x:c>
      <x:c r="J61" s="102" t="str">
        <x:f>IF(A61="","",'CSF Profile Assessment'!S61)</x:f>
      </x:c>
      <x:c r="K61" s="102" t="str">
        <x:f>IF(OR(A61="",E61="No",I61=""),"",I61-Methodology!$B$25)</x:f>
      </x:c>
      <x:c r="L61" s="102" t="str">
        <x:f>IF(A61="","",IF('CSF Profile Assessment'!T61="","",'CSF Profile Assessment'!T61))</x:f>
      </x:c>
      <x:c r="M61" s="102" t="str">
        <x:f>IF(A61="","",IF('CSF Profile Assessment'!U61="","",'CSF Profile Assessment'!U61))</x:f>
      </x:c>
      <x:c r="N61" s="102" t="str">
        <x:f>IF(A61="","",IF('CSF Profile Assessment'!V61="","",'CSF Profile Assessment'!V61))</x:f>
      </x:c>
      <x:c r="O61" s="139" t="str">
        <x:f>IF(A61="","",IF('CSF Profile Assessment'!W61="","",'CSF Profile Assessment'!W61))</x:f>
      </x:c>
      <x:c r="P61" s="102" t="str">
        <x:f>IF(A61="","",IF('CSF Profile Assessment'!X61="","",'CSF Profile Assessment'!X61))</x:f>
      </x:c>
      <x:c r="Q61" s="102" t="str">
        <x:f>IF(A61="","",'CSF Profile Assessment'!Y61)</x:f>
      </x:c>
      <x:c r="R61" s="102" t="str">
        <x:f>IF(A61="","",'CSF Profile Assessment'!Z61)</x:f>
      </x:c>
      <x:c r="S61" s="102" t="str">
        <x:f>IF(A61="","",'CSF Profile Assessment'!AA61)</x:f>
      </x:c>
      <x:c r="T61" s="102" t="str">
        <x:f>IF(A61="","",'CSF Profile Assessment'!AB61)</x:f>
      </x:c>
      <x:c r="U61" s="102" t="str">
        <x:f>IF(A61="","",IF(NOT(ISNUMBER('CSF Profile Assessment'!R61)),"Date needed",IF('CSF Profile Assessment'!R61&lt;=0,"Date needed",IF('CSF Profile Assessment'!S61="Closed","Closed",IF('CSF Profile Assessment'!S61="Accepted",IF('CSF Profile Assessment'!R61&lt;Methodology!$B$25,"Acceptance review due","Accepted - review scheduled"),IF('CSF Profile Assessment'!R61&lt;Methodology!$B$25,"Overdue",IF('CSF Profile Assessment'!R61&lt;=Methodology!$B$25+30,"Due within 30 days","Scheduled")))))))</x:f>
      </x:c>
    </x:row>
    <x:row r="62" ht="40" customHeight="1">
      <x:c r="A62" s="102" t="str">
        <x:f>IF('CSF Profile Assessment'!A62="","",'CSF Profile Assessment'!A62)</x:f>
      </x:c>
      <x:c r="B62" s="102" t="str">
        <x:f>IF(A62="","",'CSF Profile Assessment'!B62)</x:f>
      </x:c>
      <x:c r="C62" s="102" t="str">
        <x:f>IF(A62="","",'CSF Profile Assessment'!C62)</x:f>
      </x:c>
      <x:c r="D62" s="102" t="str">
        <x:f>IF(A62="","",'CSF Profile Assessment'!M62)</x:f>
      </x:c>
      <x:c r="E62" s="102" t="str">
        <x:f>IF(A62="","",IF(ISNUMBER('CSF Profile Assessment'!L62),IF('CSF Profile Assessment'!J62&gt;0,"Yes","No"),"Not assessed"))</x:f>
      </x:c>
      <x:c r="F62" s="102" t="str">
        <x:f>IF(A62="","",'CSF Profile Assessment'!O62)</x:f>
      </x:c>
      <x:c r="G62" s="102" t="str">
        <x:f>IF(A62="","",'CSF Profile Assessment'!P62)</x:f>
      </x:c>
      <x:c r="H62" s="102" t="str">
        <x:f>IF(A62="","",'CSF Profile Assessment'!Q62)</x:f>
      </x:c>
      <x:c r="I62" s="138" t="str">
        <x:f>IF(A62="","",IF(ISNUMBER('CSF Profile Assessment'!R62),IF('CSF Profile Assessment'!R62&gt;0,'CSF Profile Assessment'!R62,""),""))</x:f>
      </x:c>
      <x:c r="J62" s="102" t="str">
        <x:f>IF(A62="","",'CSF Profile Assessment'!S62)</x:f>
      </x:c>
      <x:c r="K62" s="102" t="str">
        <x:f>IF(OR(A62="",E62="No",I62=""),"",I62-Methodology!$B$25)</x:f>
      </x:c>
      <x:c r="L62" s="102" t="str">
        <x:f>IF(A62="","",IF('CSF Profile Assessment'!T62="","",'CSF Profile Assessment'!T62))</x:f>
      </x:c>
      <x:c r="M62" s="102" t="str">
        <x:f>IF(A62="","",IF('CSF Profile Assessment'!U62="","",'CSF Profile Assessment'!U62))</x:f>
      </x:c>
      <x:c r="N62" s="102" t="str">
        <x:f>IF(A62="","",IF('CSF Profile Assessment'!V62="","",'CSF Profile Assessment'!V62))</x:f>
      </x:c>
      <x:c r="O62" s="139" t="str">
        <x:f>IF(A62="","",IF('CSF Profile Assessment'!W62="","",'CSF Profile Assessment'!W62))</x:f>
      </x:c>
      <x:c r="P62" s="102" t="str">
        <x:f>IF(A62="","",IF('CSF Profile Assessment'!X62="","",'CSF Profile Assessment'!X62))</x:f>
      </x:c>
      <x:c r="Q62" s="102" t="str">
        <x:f>IF(A62="","",'CSF Profile Assessment'!Y62)</x:f>
      </x:c>
      <x:c r="R62" s="102" t="str">
        <x:f>IF(A62="","",'CSF Profile Assessment'!Z62)</x:f>
      </x:c>
      <x:c r="S62" s="102" t="str">
        <x:f>IF(A62="","",'CSF Profile Assessment'!AA62)</x:f>
      </x:c>
      <x:c r="T62" s="102" t="str">
        <x:f>IF(A62="","",'CSF Profile Assessment'!AB62)</x:f>
      </x:c>
      <x:c r="U62" s="102" t="str">
        <x:f>IF(A62="","",IF(NOT(ISNUMBER('CSF Profile Assessment'!R62)),"Date needed",IF('CSF Profile Assessment'!R62&lt;=0,"Date needed",IF('CSF Profile Assessment'!S62="Closed","Closed",IF('CSF Profile Assessment'!S62="Accepted",IF('CSF Profile Assessment'!R62&lt;Methodology!$B$25,"Acceptance review due","Accepted - review scheduled"),IF('CSF Profile Assessment'!R62&lt;Methodology!$B$25,"Overdue",IF('CSF Profile Assessment'!R62&lt;=Methodology!$B$25+30,"Due within 30 days","Scheduled")))))))</x:f>
      </x:c>
    </x:row>
    <x:row r="63" ht="40" customHeight="1">
      <x:c r="A63" s="102" t="str">
        <x:f>IF('CSF Profile Assessment'!A63="","",'CSF Profile Assessment'!A63)</x:f>
      </x:c>
      <x:c r="B63" s="102" t="str">
        <x:f>IF(A63="","",'CSF Profile Assessment'!B63)</x:f>
      </x:c>
      <x:c r="C63" s="102" t="str">
        <x:f>IF(A63="","",'CSF Profile Assessment'!C63)</x:f>
      </x:c>
      <x:c r="D63" s="102" t="str">
        <x:f>IF(A63="","",'CSF Profile Assessment'!M63)</x:f>
      </x:c>
      <x:c r="E63" s="102" t="str">
        <x:f>IF(A63="","",IF(ISNUMBER('CSF Profile Assessment'!L63),IF('CSF Profile Assessment'!J63&gt;0,"Yes","No"),"Not assessed"))</x:f>
      </x:c>
      <x:c r="F63" s="102" t="str">
        <x:f>IF(A63="","",'CSF Profile Assessment'!O63)</x:f>
      </x:c>
      <x:c r="G63" s="102" t="str">
        <x:f>IF(A63="","",'CSF Profile Assessment'!P63)</x:f>
      </x:c>
      <x:c r="H63" s="102" t="str">
        <x:f>IF(A63="","",'CSF Profile Assessment'!Q63)</x:f>
      </x:c>
      <x:c r="I63" s="138" t="str">
        <x:f>IF(A63="","",IF(ISNUMBER('CSF Profile Assessment'!R63),IF('CSF Profile Assessment'!R63&gt;0,'CSF Profile Assessment'!R63,""),""))</x:f>
      </x:c>
      <x:c r="J63" s="102" t="str">
        <x:f>IF(A63="","",'CSF Profile Assessment'!S63)</x:f>
      </x:c>
      <x:c r="K63" s="102" t="str">
        <x:f>IF(OR(A63="",E63="No",I63=""),"",I63-Methodology!$B$25)</x:f>
      </x:c>
      <x:c r="L63" s="102" t="str">
        <x:f>IF(A63="","",IF('CSF Profile Assessment'!T63="","",'CSF Profile Assessment'!T63))</x:f>
      </x:c>
      <x:c r="M63" s="102" t="str">
        <x:f>IF(A63="","",IF('CSF Profile Assessment'!U63="","",'CSF Profile Assessment'!U63))</x:f>
      </x:c>
      <x:c r="N63" s="102" t="str">
        <x:f>IF(A63="","",IF('CSF Profile Assessment'!V63="","",'CSF Profile Assessment'!V63))</x:f>
      </x:c>
      <x:c r="O63" s="139" t="str">
        <x:f>IF(A63="","",IF('CSF Profile Assessment'!W63="","",'CSF Profile Assessment'!W63))</x:f>
      </x:c>
      <x:c r="P63" s="102" t="str">
        <x:f>IF(A63="","",IF('CSF Profile Assessment'!X63="","",'CSF Profile Assessment'!X63))</x:f>
      </x:c>
      <x:c r="Q63" s="102" t="str">
        <x:f>IF(A63="","",'CSF Profile Assessment'!Y63)</x:f>
      </x:c>
      <x:c r="R63" s="102" t="str">
        <x:f>IF(A63="","",'CSF Profile Assessment'!Z63)</x:f>
      </x:c>
      <x:c r="S63" s="102" t="str">
        <x:f>IF(A63="","",'CSF Profile Assessment'!AA63)</x:f>
      </x:c>
      <x:c r="T63" s="102" t="str">
        <x:f>IF(A63="","",'CSF Profile Assessment'!AB63)</x:f>
      </x:c>
      <x:c r="U63" s="102" t="str">
        <x:f>IF(A63="","",IF(NOT(ISNUMBER('CSF Profile Assessment'!R63)),"Date needed",IF('CSF Profile Assessment'!R63&lt;=0,"Date needed",IF('CSF Profile Assessment'!S63="Closed","Closed",IF('CSF Profile Assessment'!S63="Accepted",IF('CSF Profile Assessment'!R63&lt;Methodology!$B$25,"Acceptance review due","Accepted - review scheduled"),IF('CSF Profile Assessment'!R63&lt;Methodology!$B$25,"Overdue",IF('CSF Profile Assessment'!R63&lt;=Methodology!$B$25+30,"Due within 30 days","Scheduled")))))))</x:f>
      </x:c>
    </x:row>
    <x:row r="64" ht="40" customHeight="1">
      <x:c r="A64" s="102" t="str">
        <x:f>IF('CSF Profile Assessment'!A64="","",'CSF Profile Assessment'!A64)</x:f>
      </x:c>
      <x:c r="B64" s="102" t="str">
        <x:f>IF(A64="","",'CSF Profile Assessment'!B64)</x:f>
      </x:c>
      <x:c r="C64" s="102" t="str">
        <x:f>IF(A64="","",'CSF Profile Assessment'!C64)</x:f>
      </x:c>
      <x:c r="D64" s="102" t="str">
        <x:f>IF(A64="","",'CSF Profile Assessment'!M64)</x:f>
      </x:c>
      <x:c r="E64" s="102" t="str">
        <x:f>IF(A64="","",IF(ISNUMBER('CSF Profile Assessment'!L64),IF('CSF Profile Assessment'!J64&gt;0,"Yes","No"),"Not assessed"))</x:f>
      </x:c>
      <x:c r="F64" s="102" t="str">
        <x:f>IF(A64="","",'CSF Profile Assessment'!O64)</x:f>
      </x:c>
      <x:c r="G64" s="102" t="str">
        <x:f>IF(A64="","",'CSF Profile Assessment'!P64)</x:f>
      </x:c>
      <x:c r="H64" s="102" t="str">
        <x:f>IF(A64="","",'CSF Profile Assessment'!Q64)</x:f>
      </x:c>
      <x:c r="I64" s="138" t="str">
        <x:f>IF(A64="","",IF(ISNUMBER('CSF Profile Assessment'!R64),IF('CSF Profile Assessment'!R64&gt;0,'CSF Profile Assessment'!R64,""),""))</x:f>
      </x:c>
      <x:c r="J64" s="102" t="str">
        <x:f>IF(A64="","",'CSF Profile Assessment'!S64)</x:f>
      </x:c>
      <x:c r="K64" s="102" t="str">
        <x:f>IF(OR(A64="",E64="No",I64=""),"",I64-Methodology!$B$25)</x:f>
      </x:c>
      <x:c r="L64" s="102" t="str">
        <x:f>IF(A64="","",IF('CSF Profile Assessment'!T64="","",'CSF Profile Assessment'!T64))</x:f>
      </x:c>
      <x:c r="M64" s="102" t="str">
        <x:f>IF(A64="","",IF('CSF Profile Assessment'!U64="","",'CSF Profile Assessment'!U64))</x:f>
      </x:c>
      <x:c r="N64" s="102" t="str">
        <x:f>IF(A64="","",IF('CSF Profile Assessment'!V64="","",'CSF Profile Assessment'!V64))</x:f>
      </x:c>
      <x:c r="O64" s="139" t="str">
        <x:f>IF(A64="","",IF('CSF Profile Assessment'!W64="","",'CSF Profile Assessment'!W64))</x:f>
      </x:c>
      <x:c r="P64" s="102" t="str">
        <x:f>IF(A64="","",IF('CSF Profile Assessment'!X64="","",'CSF Profile Assessment'!X64))</x:f>
      </x:c>
      <x:c r="Q64" s="102" t="str">
        <x:f>IF(A64="","",'CSF Profile Assessment'!Y64)</x:f>
      </x:c>
      <x:c r="R64" s="102" t="str">
        <x:f>IF(A64="","",'CSF Profile Assessment'!Z64)</x:f>
      </x:c>
      <x:c r="S64" s="102" t="str">
        <x:f>IF(A64="","",'CSF Profile Assessment'!AA64)</x:f>
      </x:c>
      <x:c r="T64" s="102" t="str">
        <x:f>IF(A64="","",'CSF Profile Assessment'!AB64)</x:f>
      </x:c>
      <x:c r="U64" s="102" t="str">
        <x:f>IF(A64="","",IF(NOT(ISNUMBER('CSF Profile Assessment'!R64)),"Date needed",IF('CSF Profile Assessment'!R64&lt;=0,"Date needed",IF('CSF Profile Assessment'!S64="Closed","Closed",IF('CSF Profile Assessment'!S64="Accepted",IF('CSF Profile Assessment'!R64&lt;Methodology!$B$25,"Acceptance review due","Accepted - review scheduled"),IF('CSF Profile Assessment'!R64&lt;Methodology!$B$25,"Overdue",IF('CSF Profile Assessment'!R64&lt;=Methodology!$B$25+30,"Due within 30 days","Scheduled")))))))</x:f>
      </x:c>
    </x:row>
  </x:sheetData>
  <x:mergeCells>
    <x:mergeCell ref="A1:K1"/>
    <x:mergeCell ref="A2:K2"/>
  </x:mergeCells>
  <x:conditionalFormatting sqref="K5:K64">
    <x:cfRule type="expression" dxfId="4" priority="1">
      <x:formula>AND($E5="Yes",$K5&lt;0)</x:formula>
    </x:cfRule>
  </x:conditionalFormatting>
  <x:conditionalFormatting sqref="Q5:Q64">
    <x:cfRule type="expression" dxfId="7" priority="2">
      <x:formula>AND($A5&lt;&gt;"",Q5&lt;&gt;"OK",Q5&lt;&gt;"Notes present")</x:formula>
    </x:cfRule>
  </x:conditionalFormatting>
  <x:conditionalFormatting sqref="R5:R64">
    <x:cfRule type="expression" dxfId="8" priority="3">
      <x:formula>AND($A5&lt;&gt;"",R5&lt;&gt;"OK",R5&lt;&gt;"Notes present")</x:formula>
    </x:cfRule>
  </x:conditionalFormatting>
  <x:conditionalFormatting sqref="U5:U64">
    <x:cfRule type="expression" dxfId="11" priority="4">
      <x:formula>OR(U5="Overdue",U5="Acceptance review due",U5="Date needed")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eff4ae84e246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6" hidden="0" customWidth="1"/>
    <x:col min="3" max="3" width="30" hidden="0" customWidth="1"/>
    <x:col min="5" max="5" width="24" hidden="0" customWidth="1"/>
    <x:col min="6" max="6" width="24" hidden="0" customWidth="1"/>
    <x:col min="7" max="7" width="24" hidden="0" customWidth="1"/>
    <x:col min="4" max="4" width="63" hidden="0" customWidth="1"/>
  </x:cols>
  <x:sheetData>
    <x:row r="1">
      <x:c r="A1" s="96" t="str">
        <x:v>ApexCloud Solutions — NIST CSF 2.0 Profile Gap Assessment Methodology</x:v>
      </x:c>
      <x:c r="B1" s="97"/>
      <x:c r="C1" s="97"/>
      <x:c r="D1" s="97"/>
      <x:c r="E1" s="97"/>
      <x:c r="F1" s="97"/>
      <x:c r="G1" s="79"/>
      <x:c r="H1" s="79"/>
    </x:row>
    <x:row r="2">
      <x:c r="A2" s="79"/>
      <x:c r="B2" s="79"/>
      <x:c r="C2" s="79"/>
      <x:c r="D2" s="79"/>
      <x:c r="E2" s="79"/>
      <x:c r="F2" s="79"/>
      <x:c r="G2" s="79"/>
      <x:c r="H2" s="79"/>
    </x:row>
    <x:row r="3" ht="55" customHeight="1">
      <x:c r="A3" s="114" t="str">
        <x:v>Purpose</x:v>
      </x:c>
      <x:c r="B3" s="88" t="str">
        <x:v>Simulated portfolio assessment for a fictional SaaS company. It compares a Current Profile with a Target Profile and turns material gaps into an action plan.</x:v>
      </x:c>
      <x:c r="C3" s="79"/>
      <x:c r="D3" s="79"/>
      <x:c r="E3" s="79"/>
      <x:c r="F3" s="79"/>
      <x:c r="G3" s="79"/>
      <x:c r="H3" s="79"/>
    </x:row>
    <x:row r="4" ht="55" customHeight="1">
      <x:c r="A4" s="114" t="str">
        <x:v>NIST basis</x:v>
      </x:c>
      <x:c r="B4" s="88" t="str">
        <x:v>NIST CSF 2.0 Organizational Profiles can describe current and target cybersecurity outcomes; comparing them can identify gaps and support an action plan.</x:v>
      </x:c>
      <x:c r="C4" s="79"/>
      <x:c r="D4" s="79"/>
      <x:c r="E4" s="79"/>
      <x:c r="F4" s="79"/>
      <x:c r="G4" s="79"/>
      <x:c r="H4" s="79"/>
    </x:row>
    <x:row r="5" ht="55" customHeight="1">
      <x:c r="A5" s="114" t="str">
        <x:v>Assessment level</x:v>
      </x:c>
      <x:c r="B5" s="88" t="str">
        <x:v>This project uses custom assessment questions mapped to official CSF 2.0 Categories. The questions are not presented as official NIST Subcategories.</x:v>
      </x:c>
      <x:c r="C5" s="79"/>
      <x:c r="D5" s="79"/>
      <x:c r="E5" s="79"/>
      <x:c r="F5" s="79"/>
      <x:c r="G5" s="79"/>
      <x:c r="H5" s="79"/>
    </x:row>
    <x:row r="6" ht="55" customHeight="1">
      <x:c r="A6" s="114" t="str">
        <x:v>Scoring</x:v>
      </x:c>
      <x:c r="B6" s="88" t="str">
        <x:v>Implementation status is translated to a project-defined 0–4 score: Not in place=0, Ad hoc=1, Partial=2, Mostly=3, In place=4.</x:v>
      </x:c>
      <x:c r="C6" s="79"/>
      <x:c r="D6" s="79"/>
      <x:c r="E6" s="79"/>
      <x:c r="F6" s="79"/>
      <x:c r="G6" s="79"/>
      <x:c r="H6" s="79"/>
    </x:row>
    <x:row r="7" ht="55" customHeight="1">
      <x:c r="A7" s="114" t="str">
        <x:v>Gap</x:v>
      </x:c>
      <x:c r="B7" s="88" t="str">
        <x:v>Target Score − Current Score, floored at zero.</x:v>
      </x:c>
      <x:c r="C7" s="79"/>
      <x:c r="D7" s="79"/>
      <x:c r="E7" s="79"/>
      <x:c r="F7" s="79"/>
      <x:c r="G7" s="79"/>
      <x:c r="H7" s="79"/>
    </x:row>
    <x:row r="8" ht="55" customHeight="1">
      <x:c r="A8" s="114" t="str">
        <x:v>Priority</x:v>
      </x:c>
      <x:c r="B8" s="88" t="str">
        <x:v>Gap × Business Impact (1–3). High = 6+, Medium = 3–5, Low = 1–2, No Gap = 0.</x:v>
      </x:c>
      <x:c r="C8" s="79"/>
      <x:c r="D8" s="79"/>
      <x:c r="E8" s="79"/>
      <x:c r="F8" s="79"/>
      <x:c r="G8" s="79"/>
      <x:c r="H8" s="79"/>
    </x:row>
    <x:row r="9" ht="55" customHeight="1">
      <x:c r="A9" s="114" t="str">
        <x:v>Important</x:v>
      </x:c>
      <x:c r="B9" s="88" t="str">
        <x:v>These scores are not NIST CSF Tiers and are not an official NIST maturity model.</x:v>
      </x:c>
      <x:c r="C9" s="79"/>
      <x:c r="D9" s="79"/>
      <x:c r="E9" s="79"/>
      <x:c r="F9" s="79"/>
      <x:c r="G9" s="79"/>
      <x:c r="H9" s="79"/>
    </x:row>
    <x:row r="10">
      <x:c r="A10" s="79"/>
      <x:c r="B10" s="79"/>
      <x:c r="C10" s="79"/>
      <x:c r="D10" s="79"/>
      <x:c r="E10" s="79"/>
      <x:c r="F10" s="79"/>
      <x:c r="G10" s="79"/>
      <x:c r="H10" s="79"/>
    </x:row>
    <x:row r="11">
      <x:c r="A11" s="115" t="str">
        <x:v>Implementation Status</x:v>
      </x:c>
      <x:c r="B11" s="115" t="str">
        <x:v>Score</x:v>
      </x:c>
      <x:c r="C11" s="115" t="str">
        <x:v>Interpretation</x:v>
      </x:c>
      <x:c r="D11" s="79"/>
      <x:c r="E11" s="115" t="str">
        <x:v>Priority Score</x:v>
      </x:c>
      <x:c r="F11" s="115" t="str">
        <x:v>Priority</x:v>
      </x:c>
      <x:c r="G11" s="115" t="str">
        <x:v>Use</x:v>
      </x:c>
      <x:c r="H11" s="79"/>
    </x:row>
    <x:row r="12">
      <x:c r="A12" s="79" t="str">
        <x:v>Not in place</x:v>
      </x:c>
      <x:c r="B12" s="79" t="n">
        <x:v>0</x:v>
      </x:c>
      <x:c r="C12" s="79" t="str">
        <x:v>No consistent practice observed</x:v>
      </x:c>
      <x:c r="D12" s="79"/>
      <x:c r="E12" s="79" t="str">
        <x:v>0</x:v>
      </x:c>
      <x:c r="F12" s="79" t="str">
        <x:v>No Gap</x:v>
      </x:c>
      <x:c r="G12" s="79" t="str">
        <x:v>Maintain and monitor</x:v>
      </x:c>
      <x:c r="H12" s="79"/>
    </x:row>
    <x:row r="13">
      <x:c r="A13" s="79" t="str">
        <x:v>Ad hoc</x:v>
      </x:c>
      <x:c r="B13" s="79" t="n">
        <x:v>1</x:v>
      </x:c>
      <x:c r="C13" s="79" t="str">
        <x:v>Informal or inconsistent</x:v>
      </x:c>
      <x:c r="D13" s="79"/>
      <x:c r="E13" s="79" t="str">
        <x:v>1–2</x:v>
      </x:c>
      <x:c r="F13" s="79" t="str">
        <x:v>Low</x:v>
      </x:c>
      <x:c r="G13" s="79" t="str">
        <x:v>Address through normal improvement work</x:v>
      </x:c>
      <x:c r="H13" s="79"/>
    </x:row>
    <x:row r="14">
      <x:c r="A14" s="79" t="str">
        <x:v>Partial</x:v>
      </x:c>
      <x:c r="B14" s="79" t="n">
        <x:v>2</x:v>
      </x:c>
      <x:c r="C14" s="79" t="str">
        <x:v>Some implementation, gaps remain</x:v>
      </x:c>
      <x:c r="D14" s="79"/>
      <x:c r="E14" s="79" t="str">
        <x:v>3–5</x:v>
      </x:c>
      <x:c r="F14" s="79" t="str">
        <x:v>Medium</x:v>
      </x:c>
      <x:c r="G14" s="79" t="str">
        <x:v>Plan and assign remediation</x:v>
      </x:c>
      <x:c r="H14" s="79"/>
    </x:row>
    <x:row r="15">
      <x:c r="A15" s="79" t="str">
        <x:v>Mostly</x:v>
      </x:c>
      <x:c r="B15" s="79" t="n">
        <x:v>3</x:v>
      </x:c>
      <x:c r="C15" s="79" t="str">
        <x:v>Generally implemented, limited gaps</x:v>
      </x:c>
      <x:c r="D15" s="79"/>
      <x:c r="E15" s="79" t="str">
        <x:v>6–12</x:v>
      </x:c>
      <x:c r="F15" s="79" t="str">
        <x:v>High</x:v>
      </x:c>
      <x:c r="G15" s="79" t="str">
        <x:v>Prioritize in the near-term roadmap</x:v>
      </x:c>
      <x:c r="H15" s="79"/>
    </x:row>
    <x:row r="16">
      <x:c r="A16" s="79" t="str">
        <x:v>In place</x:v>
      </x:c>
      <x:c r="B16" s="79" t="n">
        <x:v>4</x:v>
      </x:c>
      <x:c r="C16" s="79" t="str">
        <x:v>Implemented for the defined scope; real use requires supporting evidence.</x:v>
      </x:c>
      <x:c r="D16" s="79"/>
      <x:c r="E16" s="79"/>
      <x:c r="F16" s="79"/>
      <x:c r="G16" s="79"/>
      <x:c r="H16" s="79"/>
    </x:row>
    <x:row r="17">
      <x:c r="A17" s="79"/>
      <x:c r="B17" s="79"/>
      <x:c r="C17" s="79"/>
      <x:c r="D17" s="79"/>
      <x:c r="E17" s="79"/>
      <x:c r="F17" s="79"/>
      <x:c r="G17" s="79"/>
      <x:c r="H17" s="79"/>
    </x:row>
    <x:row r="18">
      <x:c r="A18" s="115" t="str">
        <x:v>Official Reference</x:v>
      </x:c>
      <x:c r="B18" s="115" t="str">
        <x:v>URL</x:v>
      </x:c>
      <x:c r="C18" s="79"/>
      <x:c r="D18" s="79"/>
      <x:c r="E18" s="79"/>
      <x:c r="F18" s="79"/>
      <x:c r="G18" s="79"/>
      <x:c r="H18" s="79"/>
    </x:row>
    <x:row r="19">
      <x:c r="A19" s="79" t="str">
        <x:v>NIST Cybersecurity Framework 2.0</x:v>
      </x:c>
      <x:c r="B19" s="79" t="str">
        <x:v>https://www.nist.gov/cyberframework</x:v>
      </x:c>
      <x:c r="C19" s="79"/>
      <x:c r="D19" s="79"/>
      <x:c r="E19" s="79"/>
      <x:c r="F19" s="79"/>
      <x:c r="G19" s="79"/>
      <x:c r="H19" s="79"/>
    </x:row>
    <x:row r="20">
      <x:c r="A20" s="79" t="str">
        <x:v>NIST CSF 2.0 Organizational Profiles</x:v>
      </x:c>
      <x:c r="B20" s="79" t="str">
        <x:v>https://www.nist.gov/cyberframework/profiles</x:v>
      </x:c>
      <x:c r="C20" s="79"/>
      <x:c r="D20" s="79"/>
      <x:c r="E20" s="79"/>
      <x:c r="F20" s="79"/>
      <x:c r="G20" s="79"/>
      <x:c r="H20" s="79"/>
    </x:row>
    <x:row r="21">
      <x:c r="A21" s="79" t="str">
        <x:v>NIST SP 1301 — Creating and Using Organizational Profiles</x:v>
      </x:c>
      <x:c r="B21" s="79" t="str">
        <x:v>https://csrc.nist.gov/pubs/sp/1301/final</x:v>
      </x:c>
      <x:c r="C21" s="79"/>
      <x:c r="D21" s="79"/>
      <x:c r="E21" s="79"/>
      <x:c r="F21" s="79"/>
      <x:c r="G21" s="79"/>
      <x:c r="H21" s="79"/>
    </x:row>
    <x:row r="22">
      <x:c r="A22" s="79"/>
      <x:c r="B22" s="79"/>
      <x:c r="C22" s="79"/>
      <x:c r="D22" s="79"/>
      <x:c r="E22" s="79"/>
      <x:c r="F22" s="79"/>
      <x:c r="G22" s="79"/>
      <x:c r="H22" s="79"/>
    </x:row>
    <x:row r="23">
      <x:c r="A23" s="79"/>
      <x:c r="B23" s="79"/>
      <x:c r="C23" s="79"/>
      <x:c r="D23" s="79"/>
      <x:c r="E23" s="79"/>
      <x:c r="F23" s="79"/>
      <x:c r="G23" s="79"/>
      <x:c r="H23" s="79"/>
    </x:row>
    <x:row r="24">
      <x:c r="A24" s="79"/>
      <x:c r="B24" s="79"/>
      <x:c r="C24" s="79"/>
      <x:c r="D24" s="79"/>
      <x:c r="E24" s="79"/>
      <x:c r="F24" s="79"/>
      <x:c r="G24" s="79"/>
      <x:c r="H24" s="79"/>
    </x:row>
    <x:row r="25" ht="62" customHeight="1">
      <x:c r="A25" s="116" t="str">
        <x:v>Reporting date</x:v>
      </x:c>
      <x:c r="B25" s="117" t="n">
        <x:v>46298</x:v>
      </x:c>
      <x:c r="C25" s="79"/>
      <x:c r="D25" s="79"/>
      <x:c r="E25" s="79"/>
      <x:c r="F25" s="79"/>
      <x:c r="G25" s="79"/>
      <x:c r="H25" s="79"/>
    </x:row>
    <x:row r="26" ht="74" customHeight="1">
      <x:c r="A26" s="120" t="str">
        <x:v>Scope</x:v>
      </x:c>
      <x:c r="B26" s="83" t="str">
        <x:v>Fictional B2B SaaS business using cloud production, employee endpoints, central identity, collaboration tools, source repositories and outsourced services. Priorities are customer-data confidentiality and critical-service availability.</x:v>
      </x:c>
      <x:c r="C26" s="79"/>
      <x:c r="D26" s="79"/>
      <x:c r="E26" s="79"/>
      <x:c r="F26" s="79"/>
      <x:c r="G26" s="79"/>
      <x:c r="H26" s="79"/>
    </x:row>
    <x:row r="27" ht="74" customHeight="1">
      <x:c r="A27" s="120" t="str">
        <x:v>Assessment basis</x:v>
      </x:c>
      <x:c r="B27" s="83" t="str">
        <x:v>All observations and scores are scenario assumptions. No real interviews, configurations, logs, approvals or tests were supplied. Evidence columns identify what to request; completion tests describe work still to perform.</x:v>
      </x:c>
      <x:c r="C27" s="79"/>
      <x:c r="D27" s="79"/>
      <x:c r="E27" s="79"/>
      <x:c r="F27" s="79"/>
      <x:c r="G27" s="79"/>
      <x:c r="H27" s="79"/>
    </x:row>
    <x:row r="28" ht="74" customHeight="1">
      <x:c r="A28" s="120" t="str">
        <x:v>Scoring horizon</x:v>
      </x:c>
      <x:c r="B28" s="83" t="str">
        <x:v>Assess plausible events over the next 12 months. Use consistent exposure and impact assumptions. Scores rank attention; they are not probabilities, expected losses or verified risk reductions.</x:v>
      </x:c>
      <x:c r="C28" s="79"/>
      <x:c r="D28" s="79"/>
      <x:c r="E28" s="79"/>
      <x:c r="F28" s="79"/>
      <x:c r="G28" s="79"/>
      <x:c r="H28" s="79"/>
    </x:row>
    <x:row r="29" ht="74" customHeight="1">
      <x:c r="A29" s="120" t="str">
        <x:v>Record checks</x:v>
      </x:c>
      <x:c r="B29" s="83" t="str">
        <x:v>Input Check reports the first missing/invalid field. Follow-up Check requires rationale, evidence basis/request, review date, related IDs and a completion test. These formulas check fields, not evidence quality or approval authority.</x:v>
      </x:c>
      <x:c r="C29" s="79"/>
      <x:c r="D29" s="79"/>
      <x:c r="E29" s="79"/>
      <x:c r="F29" s="79"/>
      <x:c r="G29" s="79"/>
      <x:c r="H29" s="79"/>
    </x:row>
    <x:row r="30" ht="74" customHeight="1">
      <x:c r="A30" s="120" t="str">
        <x:v>Decision workflow</x:v>
      </x:c>
      <x:c r="B30" s="83" t="str">
        <x:v>Closed or Accepted requires evidence marked reviewed and a decision note. Record approver, date, scope, evidence and retest/expiry. Review these manually. Current scenario records remain active because no completed decisions are evidenced.</x:v>
      </x:c>
      <x:c r="C30" s="79"/>
      <x:c r="D30" s="79"/>
      <x:c r="E30" s="79"/>
      <x:c r="F30" s="79"/>
      <x:c r="G30" s="79"/>
      <x:c r="H30" s="79"/>
    </x:row>
    <x:row r="31" ht="74" customHeight="1">
      <x:c r="A31" s="120" t="str">
        <x:v>Evidence labels</x:v>
      </x:c>
      <x:c r="B31" s="83" t="str">
        <x:v>Scenario only: fictional assumptions. Evidence requested: an actual request has been logged. Evidence reviewed: referenced material was inspected; synthetic evidence must be identified as synthetic.</x:v>
      </x:c>
      <x:c r="C31" s="79"/>
      <x:c r="D31" s="79"/>
      <x:c r="E31" s="79"/>
      <x:c r="F31" s="79"/>
      <x:c r="G31" s="79"/>
      <x:c r="H31" s="79"/>
    </x:row>
    <x:row r="32" ht="74" customHeight="1">
      <x:c r="A32" s="120" t="str">
        <x:v>Cross-project links</x:v>
      </x:c>
      <x:c r="B32" s="83" t="str">
        <x:v>Related IDs connect this version of the two workbooks. They are manually maintained text, not external Excel links. Recheck both sides when adding, removing or changing an ID.</x:v>
      </x:c>
      <x:c r="C32" s="79"/>
      <x:c r="D32" s="79"/>
      <x:c r="E32" s="79"/>
      <x:c r="F32" s="79"/>
      <x:c r="G32" s="79"/>
      <x:c r="H32" s="79"/>
    </x:row>
    <x:row r="33" ht="74" customHeight="1">
      <x:c r="A33" s="120" t="str">
        <x:v>Maintenance</x:v>
      </x:c>
      <x:c r="B33" s="83" t="str">
        <x:v>Edit the main sheet only. Logs mirror its rows; use full-table filters/sorts. Main inputs and formulas support 60 assessment items. Extending beyond that requires updating every formula, table and validation range.</x:v>
      </x:c>
      <x:c r="C33" s="79"/>
      <x:c r="D33" s="79"/>
      <x:c r="E33" s="79"/>
      <x:c r="F33" s="79"/>
      <x:c r="G33" s="79"/>
      <x:c r="H33" s="79"/>
    </x:row>
    <x:row r="34" ht="74" customHeight="1">
      <x:c r="A34" s="83" t="str">
        <x:v>Reporting date use</x:v>
      </x:c>
      <x:c r="B34" s="83" t="str">
        <x:v>Overdue counts, days remaining and acceptance reviews use B25. Update B25 when issuing a new report. This date does not automatically mark evidence as reviewed.</x:v>
      </x:c>
      <x:c r="C34" s="79"/>
      <x:c r="D34" s="79"/>
      <x:c r="E34" s="79"/>
      <x:c r="F34" s="79"/>
      <x:c r="G34" s="79"/>
      <x:c r="H34" s="79"/>
    </x:row>
    <x:row r="35" ht="74" customHeight="1">
      <x:c r="A35" s="83" t="str">
        <x:v>Limitations</x:v>
      </x:c>
      <x:c r="B35" s="83" t="str">
        <x:v>Questions are custom category-level assessment prompts. The 31 prompts touch all 22 CSF 2.0 categories, not every official subcategory. The 0-4 score is project-defined and is not a CSF Tier or certification.</x:v>
      </x:c>
      <x:c r="C35" s="79"/>
      <x:c r="D35" s="79"/>
      <x:c r="E35" s="79"/>
      <x:c r="F35" s="79"/>
      <x:c r="G35" s="79"/>
      <x:c r="H35" s="79"/>
    </x:row>
    <x:row r="36" ht="74" customHeight="1">
      <x:c r="A36" s="83" t="str">
        <x:v>Completion rule</x:v>
      </x:c>
      <x:c r="B36" s="83" t="str">
        <x:v>A lower score alone does not close an action. Use its completion test, inspect evidence, reassess current exposure and obtain the accountable decision. Accepted risks require an expiry/review date.</x:v>
      </x:c>
      <x:c r="C36" s="79"/>
      <x:c r="D36" s="79"/>
      <x:c r="E36" s="79"/>
      <x:c r="F36" s="79"/>
      <x:c r="G36" s="79"/>
      <x:c r="H36" s="79"/>
    </x:row>
    <x:row r="37" ht="74" customHeight="1">
      <x:c r="A37" s="83" t="str">
        <x:v>Priority response</x:v>
      </x:c>
      <x:c r="B37" s="83" t="str">
        <x:v>Project convention: High gaps enter the near-term action plan, Medium gaps are scheduled, Low gaps enter normal improvements. A No Gap item still requires maintenance and periodic evidence review.</x:v>
      </x:c>
      <x:c r="C37" s="79"/>
      <x:c r="D37" s="79"/>
      <x:c r="E37" s="79"/>
      <x:c r="F37" s="79"/>
      <x:c r="G37" s="79"/>
      <x:c r="H37" s="79"/>
    </x:row>
    <x:row r="38" ht="74" customHeight="1">
      <x:c r="A38" s="83" t="str">
        <x:v>Change record</x:v>
      </x:c>
      <x:c r="B38" s="83" t="str">
        <x:v>October 3, 2026: completed all scenario rationales, evidence requests and completion tests; added cross-project IDs and reporting-date controls; strengthened validation and corrected unsupported risk reductions and decisions.</x:v>
      </x:c>
      <x:c r="C38" s="79"/>
      <x:c r="D38" s="79"/>
      <x:c r="E38" s="79"/>
      <x:c r="F38" s="79"/>
      <x:c r="G38" s="79"/>
      <x:c r="H38" s="79"/>
    </x:row>
    <x:row r="39">
      <x:c r="A39" s="79"/>
      <x:c r="B39" s="79"/>
      <x:c r="C39" s="79"/>
      <x:c r="D39" s="79"/>
      <x:c r="E39" s="79"/>
      <x:c r="F39" s="79"/>
      <x:c r="G39" s="79"/>
      <x:c r="H39" s="79"/>
    </x:row>
    <x:row r="40" ht="64" customHeight="1">
      <x:c r="A40" s="119" t="str">
        <x:v>Business impact</x:v>
      </x:c>
      <x:c r="B40" s="119" t="str">
        <x:v>Project interpretation</x:v>
      </x:c>
      <x:c r="C40" s="88"/>
      <x:c r="D40" s="88"/>
      <x:c r="E40" s="79"/>
      <x:c r="F40" s="79"/>
      <x:c r="G40" s="79"/>
      <x:c r="H40" s="79"/>
    </x:row>
    <x:row r="41" ht="64" customHeight="1">
      <x:c r="A41" s="88" t="n">
        <x:v>1</x:v>
      </x:c>
      <x:c r="B41" s="88" t="str">
        <x:v>Limited process improvement; localized consequence.</x:v>
      </x:c>
      <x:c r="C41" s="88"/>
      <x:c r="D41" s="88"/>
      <x:c r="E41" s="79"/>
      <x:c r="F41" s="79"/>
      <x:c r="G41" s="79"/>
      <x:c r="H41" s="79"/>
    </x:row>
    <x:row r="42" ht="64" customHeight="1">
      <x:c r="A42" s="88" t="n">
        <x:v>2</x:v>
      </x:c>
      <x:c r="B42" s="88" t="str">
        <x:v>Material coordination or operational consequence.</x:v>
      </x:c>
      <x:c r="C42" s="88"/>
      <x:c r="D42" s="88"/>
      <x:c r="E42" s="79"/>
      <x:c r="F42" s="79"/>
      <x:c r="G42" s="79"/>
      <x:c r="H42" s="79"/>
    </x:row>
    <x:row r="43" ht="64" customHeight="1">
      <x:c r="A43" s="88" t="n">
        <x:v>3</x:v>
      </x:c>
      <x:c r="B43" s="88" t="str">
        <x:v>Customer data, critical service, privileged access or material risk-governance consequence.</x:v>
      </x:c>
      <x:c r="C43" s="88"/>
      <x:c r="D43" s="88"/>
      <x:c r="E43" s="79"/>
      <x:c r="F43" s="79"/>
      <x:c r="G43" s="79"/>
      <x:c r="H43" s="79"/>
    </x:row>
    <x:row r="44" ht="64" customHeight="1">
      <x:c r="A44" s="88"/>
      <x:c r="B44" s="88"/>
      <x:c r="C44" s="88"/>
      <x:c r="D44" s="88"/>
      <x:c r="E44" s="79"/>
      <x:c r="F44" s="79"/>
      <x:c r="G44" s="79"/>
      <x:c r="H44" s="79"/>
    </x:row>
    <x:row r="45" ht="64" customHeight="1">
      <x:c r="A45" s="88"/>
      <x:c r="B45" s="88"/>
      <x:c r="C45" s="88"/>
      <x:c r="D45" s="88"/>
      <x:c r="E45" s="79"/>
      <x:c r="F45" s="79"/>
      <x:c r="G45" s="79"/>
      <x:c r="H45" s="79"/>
    </x:row>
    <x:row r="46">
      <x:c r="A46" s="79"/>
      <x:c r="B46" s="79"/>
      <x:c r="C46" s="79"/>
      <x:c r="D46" s="79"/>
      <x:c r="E46" s="79"/>
      <x:c r="F46" s="79"/>
      <x:c r="G46" s="79"/>
      <x:c r="H46" s="79"/>
    </x:row>
    <x:row r="47">
      <x:c r="A47" s="79"/>
      <x:c r="B47" s="79"/>
      <x:c r="C47" s="79"/>
      <x:c r="D47" s="79"/>
      <x:c r="E47" s="79"/>
      <x:c r="F47" s="79"/>
      <x:c r="G47" s="79"/>
      <x:c r="H47" s="79"/>
    </x:row>
    <x:row r="48">
      <x:c r="A48" s="79"/>
      <x:c r="B48" s="79"/>
      <x:c r="C48" s="79"/>
      <x:c r="D48" s="79"/>
      <x:c r="E48" s="79"/>
      <x:c r="F48" s="79"/>
      <x:c r="G48" s="79"/>
      <x:c r="H48" s="79"/>
    </x:row>
    <x:row r="49">
      <x:c r="A49" s="79"/>
      <x:c r="B49" s="79"/>
      <x:c r="C49" s="79"/>
      <x:c r="D49" s="79"/>
      <x:c r="E49" s="79"/>
      <x:c r="F49" s="79"/>
      <x:c r="G49" s="79"/>
      <x:c r="H49" s="79"/>
    </x:row>
    <x:row r="50">
      <x:c r="A50" s="79"/>
      <x:c r="B50" s="79"/>
      <x:c r="C50" s="79"/>
      <x:c r="D50" s="79"/>
      <x:c r="E50" s="79"/>
      <x:c r="F50" s="79"/>
      <x:c r="G50" s="79"/>
      <x:c r="H50" s="79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10" max="10" width="20" hidden="0" customWidth="1"/>
    <x:col min="11" max="11" width="20" hidden="0" customWidth="1"/>
    <x:col min="8" max="8" width="24" hidden="0" customWidth="1"/>
  </x:cols>
  <x:sheetData>
    <x:row r="1">
      <x:c r="A1" s="78" t="str">
        <x:v>Implementation Status</x:v>
      </x:c>
      <x:c r="B1" s="78" t="str">
        <x:v>Owner</x:v>
      </x:c>
      <x:c r="C1" s="78" t="str">
        <x:v>Action Status</x:v>
      </x:c>
      <x:c r="D1" s="78" t="str">
        <x:v>Business Impact</x:v>
      </x:c>
      <x:c r="E1" s="79"/>
      <x:c r="F1" s="79"/>
      <x:c r="G1" s="79"/>
      <x:c r="H1" s="107" t="str">
        <x:v>Evidence Basis</x:v>
      </x:c>
      <x:c r="J1" t="str">
        <x:v>CSF Category</x:v>
      </x:c>
      <x:c r="K1" t="str">
        <x:v>Function</x:v>
      </x:c>
    </x:row>
    <x:row r="2">
      <x:c r="A2" s="79" t="str">
        <x:v>Not in place</x:v>
      </x:c>
      <x:c r="B2" s="79" t="str">
        <x:v>CISO</x:v>
      </x:c>
      <x:c r="C2" s="79" t="str">
        <x:v>Open</x:v>
      </x:c>
      <x:c r="D2" s="79" t="n">
        <x:v>1</x:v>
      </x:c>
      <x:c r="E2" s="79"/>
      <x:c r="F2" s="79"/>
      <x:c r="G2" s="79"/>
      <x:c r="H2" s="79" t="str">
        <x:v>Scenario only</x:v>
      </x:c>
      <x:c r="J2" t="str">
        <x:v>GV.OC</x:v>
      </x:c>
      <x:c r="K2" t="str">
        <x:v>Govern</x:v>
      </x:c>
    </x:row>
    <x:row r="3">
      <x:c r="A3" s="79" t="str">
        <x:v>Ad hoc</x:v>
      </x:c>
      <x:c r="B3" s="79" t="str">
        <x:v>IT Manager</x:v>
      </x:c>
      <x:c r="C3" s="79" t="str">
        <x:v>Planned</x:v>
      </x:c>
      <x:c r="D3" s="79" t="n">
        <x:v>2</x:v>
      </x:c>
      <x:c r="E3" s="79"/>
      <x:c r="F3" s="79"/>
      <x:c r="G3" s="79"/>
      <x:c r="H3" s="79" t="str">
        <x:v>Evidence requested</x:v>
      </x:c>
      <x:c r="J3" t="str">
        <x:v>GV.RM</x:v>
      </x:c>
      <x:c r="K3" t="str">
        <x:v>Govern</x:v>
      </x:c>
    </x:row>
    <x:row r="4">
      <x:c r="A4" s="79" t="str">
        <x:v>Partial</x:v>
      </x:c>
      <x:c r="B4" s="79" t="str">
        <x:v>Security Manager</x:v>
      </x:c>
      <x:c r="C4" s="79" t="str">
        <x:v>In Progress</x:v>
      </x:c>
      <x:c r="D4" s="79" t="n">
        <x:v>3</x:v>
      </x:c>
      <x:c r="E4" s="79"/>
      <x:c r="F4" s="79"/>
      <x:c r="G4" s="79"/>
      <x:c r="H4" s="79" t="str">
        <x:v>Evidence reviewed</x:v>
      </x:c>
      <x:c r="J4" t="str">
        <x:v>GV.RR</x:v>
      </x:c>
      <x:c r="K4" t="str">
        <x:v>Govern</x:v>
      </x:c>
    </x:row>
    <x:row r="5">
      <x:c r="A5" s="79" t="str">
        <x:v>Mostly</x:v>
      </x:c>
      <x:c r="B5" s="79" t="str">
        <x:v>Application Owner</x:v>
      </x:c>
      <x:c r="C5" s="79" t="str">
        <x:v>Monitor</x:v>
      </x:c>
      <x:c r="D5" s="79" t="str"/>
      <x:c r="E5" s="79"/>
      <x:c r="F5" s="79"/>
      <x:c r="G5" s="79"/>
      <x:c r="H5" s="79"/>
      <x:c r="J5" t="str">
        <x:v>GV.PO</x:v>
      </x:c>
      <x:c r="K5" t="str">
        <x:v>Govern</x:v>
      </x:c>
    </x:row>
    <x:row r="6">
      <x:c r="A6" s="79" t="str">
        <x:v>In place</x:v>
      </x:c>
      <x:c r="B6" s="79" t="str">
        <x:v>Data Owner</x:v>
      </x:c>
      <x:c r="C6" s="79" t="str">
        <x:v>Closed</x:v>
      </x:c>
      <x:c r="D6" s="79" t="str"/>
      <x:c r="E6" s="79"/>
      <x:c r="F6" s="79"/>
      <x:c r="G6" s="79"/>
      <x:c r="H6" s="79"/>
      <x:c r="J6" t="str">
        <x:v>GV.OV</x:v>
      </x:c>
      <x:c r="K6" t="str">
        <x:v>Govern</x:v>
      </x:c>
    </x:row>
    <x:row r="7">
      <x:c r="A7" s="79" t="str"/>
      <x:c r="B7" s="79" t="str">
        <x:v>Operations Manager</x:v>
      </x:c>
      <x:c r="C7" s="79" t="str">
        <x:v>Accepted</x:v>
      </x:c>
      <x:c r="D7" s="79" t="str"/>
      <x:c r="E7" s="79"/>
      <x:c r="F7" s="79"/>
      <x:c r="G7" s="79"/>
      <x:c r="H7" s="79"/>
      <x:c r="J7" t="str">
        <x:v>GV.SC</x:v>
      </x:c>
      <x:c r="K7" t="str">
        <x:v>Govern</x:v>
      </x:c>
    </x:row>
    <x:row r="8">
      <x:c r="A8" s="79" t="str"/>
      <x:c r="B8" s="79" t="str">
        <x:v>Vendor Manager</x:v>
      </x:c>
      <x:c r="C8" s="79" t="str"/>
      <x:c r="D8" s="79" t="str"/>
      <x:c r="E8" s="79"/>
      <x:c r="F8" s="79"/>
      <x:c r="G8" s="79"/>
      <x:c r="H8" s="79"/>
      <x:c r="J8" t="str">
        <x:v>ID.AM</x:v>
      </x:c>
      <x:c r="K8" t="str">
        <x:v>Identify</x:v>
      </x:c>
    </x:row>
    <x:row r="9">
      <x:c r="A9" s="79" t="str"/>
      <x:c r="B9" s="79" t="str">
        <x:v>HR Manager</x:v>
      </x:c>
      <x:c r="C9" s="79" t="str"/>
      <x:c r="D9" s="79" t="str"/>
      <x:c r="E9" s="79"/>
      <x:c r="F9" s="79"/>
      <x:c r="G9" s="79"/>
      <x:c r="H9" s="79"/>
      <x:c r="J9" t="str">
        <x:v>ID.RA</x:v>
      </x:c>
      <x:c r="K9" t="str">
        <x:v>Identify</x:v>
      </x:c>
    </x:row>
    <x:row r="10">
      <x:c r="A10" s="79" t="str"/>
      <x:c r="B10" s="79" t="str">
        <x:v>Compliance Manager</x:v>
      </x:c>
      <x:c r="C10" s="79" t="str"/>
      <x:c r="D10" s="79" t="str"/>
      <x:c r="E10" s="79"/>
      <x:c r="F10" s="79"/>
      <x:c r="G10" s="79"/>
      <x:c r="H10" s="79"/>
      <x:c r="J10" t="str">
        <x:v>ID.IM</x:v>
      </x:c>
      <x:c r="K10" t="str">
        <x:v>Identify</x:v>
      </x:c>
    </x:row>
    <x:row r="11">
      <x:c r="A11" s="79"/>
      <x:c r="B11" s="79"/>
      <x:c r="C11" s="79"/>
      <x:c r="D11" s="79"/>
      <x:c r="E11" s="79"/>
      <x:c r="F11" s="79"/>
      <x:c r="G11" s="79"/>
      <x:c r="H11" s="79"/>
      <x:c r="J11" t="str">
        <x:v>PR.AA</x:v>
      </x:c>
      <x:c r="K11" t="str">
        <x:v>Protect</x:v>
      </x:c>
    </x:row>
    <x:row r="12">
      <x:c r="A12" s="79"/>
      <x:c r="B12" s="79"/>
      <x:c r="C12" s="79"/>
      <x:c r="D12" s="79"/>
      <x:c r="E12" s="79"/>
      <x:c r="F12" s="79"/>
      <x:c r="G12" s="79"/>
      <x:c r="H12" s="79"/>
      <x:c r="J12" t="str">
        <x:v>PR.AT</x:v>
      </x:c>
      <x:c r="K12" t="str">
        <x:v>Protect</x:v>
      </x:c>
    </x:row>
    <x:row r="13">
      <x:c r="A13" s="79"/>
      <x:c r="B13" s="79"/>
      <x:c r="C13" s="79"/>
      <x:c r="D13" s="79"/>
      <x:c r="E13" s="79"/>
      <x:c r="F13" s="79"/>
      <x:c r="G13" s="79"/>
      <x:c r="H13" s="79"/>
      <x:c r="J13" t="str">
        <x:v>PR.DS</x:v>
      </x:c>
      <x:c r="K13" t="str">
        <x:v>Protect</x:v>
      </x:c>
    </x:row>
    <x:row r="14">
      <x:c r="A14" s="79"/>
      <x:c r="B14" s="79"/>
      <x:c r="C14" s="79"/>
      <x:c r="D14" s="79"/>
      <x:c r="E14" s="79"/>
      <x:c r="F14" s="79"/>
      <x:c r="G14" s="79"/>
      <x:c r="H14" s="79"/>
      <x:c r="J14" t="str">
        <x:v>PR.PS</x:v>
      </x:c>
      <x:c r="K14" t="str">
        <x:v>Protect</x:v>
      </x:c>
    </x:row>
    <x:row r="15">
      <x:c r="A15" s="79"/>
      <x:c r="B15" s="79"/>
      <x:c r="C15" s="79"/>
      <x:c r="D15" s="79"/>
      <x:c r="E15" s="79"/>
      <x:c r="F15" s="79"/>
      <x:c r="G15" s="79"/>
      <x:c r="H15" s="79"/>
      <x:c r="J15" t="str">
        <x:v>PR.IR</x:v>
      </x:c>
      <x:c r="K15" t="str">
        <x:v>Protect</x:v>
      </x:c>
    </x:row>
    <x:row r="16">
      <x:c r="J16" t="str">
        <x:v>DE.CM</x:v>
      </x:c>
      <x:c r="K16" t="str">
        <x:v>Detect</x:v>
      </x:c>
    </x:row>
    <x:row r="17">
      <x:c r="J17" t="str">
        <x:v>DE.AE</x:v>
      </x:c>
      <x:c r="K17" t="str">
        <x:v>Detect</x:v>
      </x:c>
    </x:row>
    <x:row r="18">
      <x:c r="J18" t="str">
        <x:v>RS.MA</x:v>
      </x:c>
      <x:c r="K18" t="str">
        <x:v>Respond</x:v>
      </x:c>
    </x:row>
    <x:row r="19">
      <x:c r="J19" t="str">
        <x:v>RS.AN</x:v>
      </x:c>
      <x:c r="K19" t="str">
        <x:v>Respond</x:v>
      </x:c>
    </x:row>
    <x:row r="20">
      <x:c r="J20" t="str">
        <x:v>RS.CO</x:v>
      </x:c>
      <x:c r="K20" t="str">
        <x:v>Respond</x:v>
      </x:c>
    </x:row>
    <x:row r="21">
      <x:c r="J21" t="str">
        <x:v>RS.MI</x:v>
      </x:c>
      <x:c r="K21" t="str">
        <x:v>Respond</x:v>
      </x:c>
    </x:row>
    <x:row r="22">
      <x:c r="J22" t="str">
        <x:v>RC.RP</x:v>
      </x:c>
      <x:c r="K22" t="str">
        <x:v>Recover</x:v>
      </x:c>
    </x:row>
    <x:row r="23">
      <x:c r="J23" t="str">
        <x:v>RC.CO</x:v>
      </x:c>
      <x:c r="K23" t="str">
        <x:v>Recover</x:v>
      </x:c>
    </x:row>
  </x:sheetData>
  <x:pageMargins left="0.7" right="0.7" top="0.75" bottom="0.75" header="0.3" footer="0.3"/>
</x:worksheet>
</file>