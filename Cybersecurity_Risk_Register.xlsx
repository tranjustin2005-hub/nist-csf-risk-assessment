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508899aec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a98694755dc34667"/>
    <x:sheet xmlns:r="http://schemas.openxmlformats.org/officeDocument/2006/relationships" name="Risk Heatmap" sheetId="2" r:id="Rd817bb6a1a0c4bdd"/>
    <x:sheet xmlns:r="http://schemas.openxmlformats.org/officeDocument/2006/relationships" name="Treatment Log" sheetId="3" r:id="R91364b34ae8e4e2f"/>
    <x:sheet xmlns:r="http://schemas.openxmlformats.org/officeDocument/2006/relationships" name="Methodology" sheetId="4" r:id="R6610c59b29ef4786"/>
    <x:sheet xmlns:r="http://schemas.openxmlformats.org/officeDocument/2006/relationships" name="Lists" sheetId="5" r:id="R44b516b44c0a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mmm d, yyyy"/>
    <x:numFmt numFmtId="202" formatCode="0"/>
  </x:numFmts>
  <x:fonts count="9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i/>
      <x:sz val="10"/>
      <x:name val="Carlito"/>
    </x:font>
    <x:font>
      <x:i/>
      <x:sz val="11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name val="Arial"/>
    </x:font>
    <x:font>
      <x:b/>
      <x:sz val="10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F9F9F9"/>
      </x:patternFill>
    </x:fill>
    <x:fill>
      <x:patternFill patternType="solid">
        <x:fgColor rgb="FFF8F8F8"/>
      </x:patternFill>
    </x:fill>
    <x:fill>
      <x:patternFill patternType="solid">
        <x:fgColor rgb="FFE7E6E6"/>
      </x:patternFill>
    </x:fill>
    <x:fill>
      <x:patternFill patternType="solid">
        <x:fgColor rgb="FFFFFDF2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AFAFA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2" borderId="1" xfId="0" applyNumberFormat="1" applyFont="1" applyFill="1" applyBorder="1"/>
    <x:xf numFmtId="0" fontId="1" fillId="12" borderId="1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vertical="center" wrapText="1"/>
    </x:xf>
    <x:xf numFmtId="201" fontId="6" fillId="14" borderId="0" xfId="0" applyNumberFormat="1" applyFont="1" applyFill="1" applyBorder="1" applyAlignment="1">
      <x:alignment vertical="center" wrapText="1"/>
    </x:xf>
    <x:xf numFmtId="201" fontId="6" fillId="15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horizontal="center" vertical="top" wrapText="1"/>
    </x:xf>
    <x:xf numFmtId="0" fontId="1" fillId="13" borderId="0" xfId="0" applyNumberFormat="1" applyFont="1" applyFill="1" applyBorder="1" applyAlignment="1">
      <x:alignment wrapText="1"/>
    </x:xf>
    <x:xf numFmtId="202" fontId="0" fillId="8" borderId="0" xfId="0" applyNumberFormat="1" applyFont="1" applyFill="1" applyBorder="1"/>
    <x:xf numFmtId="202" fontId="0" fillId="9" borderId="0" xfId="0" applyNumberFormat="1" applyFont="1" applyFill="1" applyBorder="1"/>
    <x:xf numFmtId="202" fontId="0" fillId="10" borderId="0" xfId="0" applyNumberFormat="1" applyFont="1" applyFill="1" applyBorder="1"/>
    <x:xf numFmtId="202" fontId="0" fillId="11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e13e586e74dc2" /><Relationship Type="http://schemas.openxmlformats.org/officeDocument/2006/relationships/theme" Target="/xl/theme/theme1.xml" Id="R5aef429f84d24080" /><Relationship Type="http://schemas.openxmlformats.org/officeDocument/2006/relationships/sharedStrings" Target="/xl/sharedStrings.xml" Id="Ra0c7125beb204c8d" /><Relationship Type="http://schemas.openxmlformats.org/officeDocument/2006/relationships/worksheet" Target="/xl/worksheets/sheet1.xml" Id="Ra98694755dc34667" /><Relationship Type="http://schemas.openxmlformats.org/officeDocument/2006/relationships/worksheet" Target="/xl/worksheets/sheet2.xml" Id="Rd817bb6a1a0c4bdd" /><Relationship Type="http://schemas.openxmlformats.org/officeDocument/2006/relationships/worksheet" Target="/xl/worksheets/sheet3.xml" Id="R91364b34ae8e4e2f" /><Relationship Type="http://schemas.openxmlformats.org/officeDocument/2006/relationships/worksheet" Target="/xl/worksheets/sheet4.xml" Id="R6610c59b29ef4786" /><Relationship Type="http://schemas.openxmlformats.org/officeDocument/2006/relationships/worksheet" Target="/xl/worksheets/sheet5.xml" Id="R44b516b44c0a4059" /></Relationships>
</file>

<file path=xl/tables/table1.xml><?xml version="1.0" encoding="utf-8"?>
<x:table xmlns:x="http://schemas.openxmlformats.org/spreadsheetml/2006/main" id="3" name="RiskRegister" displayName="RiskRegister" ref="A4:AE104" headerRowCount="1" totalsRowCount="0" totalsRowShown="0">
  <x:tableColumns count="31">
    <x:tableColumn id="1" name="Risk ID"/>
    <x:tableColumn id="2" name="Category"/>
    <x:tableColumn id="3" name="Asset / Process"/>
    <x:tableColumn id="4" name="Risk Statement"/>
    <x:tableColumn id="5" name="Threat / Event"/>
    <x:tableColumn id="6" name="Vulnerability / Condition"/>
    <x:tableColumn id="7" name="Likelihood"/>
    <x:tableColumn id="8" name="Impact"/>
    <x:tableColumn id="9" name="Inherent Score"/>
    <x:tableColumn id="10" name="Inherent Rating"/>
    <x:tableColumn id="11" name="Existing Controls"/>
    <x:tableColumn id="12" name="Control Effectiveness"/>
    <x:tableColumn id="13" name="Residual Likelihood"/>
    <x:tableColumn id="14" name="Residual Impact"/>
    <x:tableColumn id="15" name="Residual Score"/>
    <x:tableColumn id="16" name="Residual Rating"/>
    <x:tableColumn id="17" name="Treatment"/>
    <x:tableColumn id="18" name="Recommended Action"/>
    <x:tableColumn id="19" name="Owner"/>
    <x:tableColumn id="20" name="Status"/>
    <x:tableColumn id="21" name="Target Date"/>
    <x:tableColumn id="22" name="NIST CSF Function"/>
    <x:tableColumn id="23" name="CIS Control Reference"/>
    <x:tableColumn id="24" name="Evidence / Notes"/>
    <x:tableColumn id="25" name="Assessment Rationale"/>
    <x:tableColumn id="26" name="Evidence Basis"/>
    <x:tableColumn id="27" name="Evidence Reference or Request"/>
    <x:tableColumn id="28" name="Assessment Review Date"/>
    <x:tableColumn id="29" name="Closure or Acceptance Note"/>
    <x:tableColumn id="30" name="Input Check"/>
    <x:tableColumn id="31" name="Follow-up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TreatmentLog" displayName="TreatmentLog" ref="A4:Q104" headerRowCount="1" totalsRowCount="0" totalsRowShown="0">
  <x:tableColumns count="17">
    <x:tableColumn id="1" name="Risk ID"/>
    <x:tableColumn id="2" name="Risk Statement"/>
    <x:tableColumn id="3" name="Residual Rating"/>
    <x:tableColumn id="4" name="Treatment"/>
    <x:tableColumn id="5" name="Owner"/>
    <x:tableColumn id="6" name="Status"/>
    <x:tableColumn id="7" name="Target Date"/>
    <x:tableColumn id="8" name="Days to Target"/>
    <x:tableColumn id="9" name="Recommended Action"/>
    <x:tableColumn id="10" name="Evidence / Notes"/>
    <x:tableColumn id="11" name="Assessment Rationale"/>
    <x:tableColumn id="12" name="Evidence Basis"/>
    <x:tableColumn id="13" name="Evidence Reference or Request"/>
    <x:tableColumn id="14" name="Assessment Review Date"/>
    <x:tableColumn id="15" name="Closure or Acceptance Note"/>
    <x:tableColumn id="16" name="Input Check"/>
    <x:tableColumn id="17" name="Follow-up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03cd9e40ba44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b0883326d5463b" /></Relationships>
</file>

<file path=xl/worksheets/sheet1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4" hidden="0" customWidth="1"/>
    <x:col min="4" max="4" width="48" hidden="0" customWidth="1"/>
    <x:col min="5" max="5" width="22" hidden="0" customWidth="1"/>
    <x:col min="6" max="6" width="34" hidden="0" customWidth="1"/>
    <x:col min="7" max="7" width="10" hidden="0" customWidth="1"/>
    <x:col min="8" max="8" width="10" hidden="0" customWidth="1"/>
    <x:col min="9" max="9" width="12" hidden="0" customWidth="1"/>
    <x:col min="10" max="10" width="14" hidden="0" customWidth="1"/>
    <x:col min="11" max="11" width="34" hidden="0" customWidth="1"/>
    <x:col min="12" max="12" width="20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3" hidden="0" customWidth="1"/>
    <x:col min="18" max="18" width="46" hidden="0" customWidth="1"/>
    <x:col min="19" max="19" width="20" hidden="0" customWidth="1"/>
    <x:col min="20" max="20" width="14" hidden="0" customWidth="1"/>
    <x:col min="21" max="21" width="14" hidden="0" customWidth="1"/>
    <x:col min="22" max="22" width="20" hidden="0" customWidth="1"/>
    <x:col min="23" max="23" width="20" hidden="0" customWidth="1"/>
    <x:col min="24" max="24" width="38" hidden="0" customWidth="1"/>
    <x:col min="25" max="25" width="53" hidden="0" customWidth="1"/>
    <x:col min="26" max="26" width="22" hidden="0" customWidth="1"/>
    <x:col min="27" max="27" width="47" hidden="0" customWidth="1"/>
    <x:col min="28" max="28" width="18" hidden="0" customWidth="1"/>
    <x:col min="29" max="29" width="45" hidden="0" customWidth="1"/>
    <x:col min="30" max="30" width="25" hidden="0" customWidth="1"/>
    <x:col min="31" max="31" width="29" hidden="0" customWidth="1"/>
  </x:cols>
  <x:sheetData>
    <x:row r="1">
      <x:c r="A1" s="7" t="str">
        <x:v>ApexCloud Solutions — Cyber Risk Register (Simulated)</x:v>
      </x:c>
    </x:row>
    <x:row r="2">
      <x:c r="A2" s="22" t="str">
        <x:v>Simulated learning project. Yellow fields are inputs; score and check fields are calculated. Enter and maintain complete records here. Filter Input Check and Follow-up Check to find records needing attention.</x:v>
      </x:c>
    </x:row>
    <x:row r="4" ht="34" customHeight="1">
      <x:c r="A4" s="88" t="str">
        <x:v>Risk ID</x:v>
      </x:c>
      <x:c r="B4" s="88" t="str">
        <x:v>Category</x:v>
      </x:c>
      <x:c r="C4" s="88" t="str">
        <x:v>Asset / Process</x:v>
      </x:c>
      <x:c r="D4" s="88" t="str">
        <x:v>Risk Statement</x:v>
      </x:c>
      <x:c r="E4" s="88" t="str">
        <x:v>Threat / Event</x:v>
      </x:c>
      <x:c r="F4" s="88" t="str">
        <x:v>Vulnerability / Condition</x:v>
      </x:c>
      <x:c r="G4" s="88" t="str">
        <x:v>Likelihood</x:v>
      </x:c>
      <x:c r="H4" s="88" t="str">
        <x:v>Impact</x:v>
      </x:c>
      <x:c r="I4" s="88" t="str">
        <x:v>Inherent Score</x:v>
      </x:c>
      <x:c r="J4" s="88" t="str">
        <x:v>Inherent Rating</x:v>
      </x:c>
      <x:c r="K4" s="88" t="str">
        <x:v>Existing Controls</x:v>
      </x:c>
      <x:c r="L4" s="88" t="str">
        <x:v>Control Effectiveness</x:v>
      </x:c>
      <x:c r="M4" s="88" t="str">
        <x:v>Residual Likelihood</x:v>
      </x:c>
      <x:c r="N4" s="88" t="str">
        <x:v>Residual Impact</x:v>
      </x:c>
      <x:c r="O4" s="88" t="str">
        <x:v>Residual Score</x:v>
      </x:c>
      <x:c r="P4" s="88" t="str">
        <x:v>Residual Rating</x:v>
      </x:c>
      <x:c r="Q4" s="88" t="str">
        <x:v>Treatment</x:v>
      </x:c>
      <x:c r="R4" s="88" t="str">
        <x:v>Recommended Action</x:v>
      </x:c>
      <x:c r="S4" s="88" t="str">
        <x:v>Owner</x:v>
      </x:c>
      <x:c r="T4" s="88" t="str">
        <x:v>Status</x:v>
      </x:c>
      <x:c r="U4" s="88" t="str">
        <x:v>Target Date</x:v>
      </x:c>
      <x:c r="V4" s="88" t="str">
        <x:v>NIST CSF Function</x:v>
      </x:c>
      <x:c r="W4" s="88" t="str">
        <x:v>CIS Control Reference</x:v>
      </x:c>
      <x:c r="X4" s="88" t="str">
        <x:v>Evidence / Notes</x:v>
      </x:c>
      <x:c r="Y4" s="88" t="str">
        <x:v>Assessment Rationale</x:v>
      </x:c>
      <x:c r="Z4" s="88" t="str">
        <x:v>Evidence Basis</x:v>
      </x:c>
      <x:c r="AA4" s="88" t="str">
        <x:v>Evidence Reference or Request</x:v>
      </x:c>
      <x:c r="AB4" s="88" t="str">
        <x:v>Assessment Review Date</x:v>
      </x:c>
      <x:c r="AC4" s="88" t="str">
        <x:v>Closure or Acceptance Note</x:v>
      </x:c>
      <x:c r="AD4" s="88" t="str">
        <x:v>Input Check</x:v>
      </x:c>
      <x:c r="AE4" s="88" t="str">
        <x:v>Follow-up Check</x:v>
      </x:c>
    </x:row>
    <x:row r="5" ht="100" customHeight="1">
      <x:c r="A5" s="40" t="str">
        <x:v>R-001</x:v>
      </x:c>
      <x:c r="B5" s="40" t="str">
        <x:v>Identity &amp; Access</x:v>
      </x:c>
      <x:c r="C5" s="40" t="str">
        <x:v>Identity platform</x:v>
      </x:c>
      <x:c r="D5" s="40" t="str">
        <x:v>A stolen privileged account could give an attacker administrative access to business systems and customer data.</x:v>
      </x:c>
      <x:c r="E5" s="40" t="str">
        <x:v>Credential phishing</x:v>
      </x:c>
      <x:c r="F5" s="40" t="str">
        <x:v>Privileged administrators do not consistently use phishing-resistant MFA</x:v>
      </x:c>
      <x:c r="G5" s="40" t="n">
        <x:v>4</x:v>
      </x:c>
      <x:c r="H5" s="40" t="n">
        <x:v>5</x:v>
      </x:c>
      <x:c r="I5" s="41" t="n">
        <x:f>IF(A5="","",IF(COUNT(G5,H5)&lt;&gt;2,"",IF(AND(G5&gt;=1,G5&lt;=5,H5&gt;=1,H5&lt;=5,MOD(G5,1)=0,MOD(H5,1)=0),G5*H5,"")))</x:f>
        <x:v>20</x:v>
      </x:c>
      <x:c r="J5" s="41" t="str">
        <x:f>IF(A5="","",IF(ISNUMBER(I5),IF(I5&gt;=16,"Critical",IF(I5&gt;=10,"High",IF(I5&gt;=5,"Medium","Low"))),"Not assessed"))</x:f>
        <x:v>Critical</x:v>
      </x:c>
      <x:c r="K5" s="40" t="str">
        <x:v>Standard MFA; password policy; sign-in logging</x:v>
      </x:c>
      <x:c r="L5" s="40" t="str">
        <x:v>Partially Effective</x:v>
      </x:c>
      <x:c r="M5" s="40" t="n">
        <x:v>2</x:v>
      </x:c>
      <x:c r="N5" s="40" t="n">
        <x:v>5</x:v>
      </x:c>
      <x:c r="O5" s="41" t="n">
        <x:f>IF(A5="","",IF(COUNT(M5,N5)&lt;&gt;2,"",IF(AND(M5&gt;=1,M5&lt;=5,N5&gt;=1,N5&lt;=5,MOD(M5,1)=0,MOD(N5,1)=0),M5*N5,"")))</x:f>
        <x:v>10</x:v>
      </x:c>
      <x:c r="P5" s="41" t="str">
        <x:f>IF(A5="","",IF(ISNUMBER(O5),IF(O5&gt;=16,"Critical",IF(O5&gt;=10,"High",IF(O5&gt;=5,"Medium","Low"))),"Not assessed"))</x:f>
        <x:v>High</x:v>
      </x:c>
      <x:c r="Q5" s="40" t="str">
        <x:v>Mitigate</x:v>
      </x:c>
      <x:c r="R5" s="40" t="str">
        <x:v>Require phishing-resistant MFA for privileged roles and review privileged access quarterly.</x:v>
      </x:c>
      <x:c r="S5" s="40" t="str">
        <x:v>IT Manager</x:v>
      </x:c>
      <x:c r="T5" s="40" t="str">
        <x:v>In Progress</x:v>
      </x:c>
      <x:c r="U5" s="42" t="n">
        <x:v>46302</x:v>
      </x:c>
      <x:c r="V5" s="40" t="str">
        <x:v>Protect</x:v>
      </x:c>
      <x:c r="W5" s="40" t="str">
        <x:v>CIS 5, 6</x:v>
      </x:c>
      <x:c r="X5" s="40" t="str">
        <x:v>Simulated scenario; MFA rollout partially complete.</x:v>
      </x:c>
      <x:c r="Y5" s="92" t="str">
        <x:v>Scenario assumption: privileged access makes impact severe (5). Standard MFA lowers estimated likelihood from 4 to 2, but the effect is untested. Phishing-resistant MFA remains a proposed improvement.</x:v>
      </x:c>
      <x:c r="Z5" s="92" t="str">
        <x:v>Scenario only</x:v>
      </x:c>
      <x:c r="AA5" s="92" t="str">
        <x:v>To collect: privileged-user inventory, MFA enrollment and enforcement settings, sign-in samples. No evidence files supplied.</x:v>
      </x:c>
      <x:c r="AB5" s="97" t="n">
        <x:v>46281</x:v>
      </x:c>
      <x:c r="AC5" s="92"/>
      <x:c r="AD5" s="96" t="str">
        <x:f>IF(COUNTA(A5:H5,K5:N5,Q5:AC5)=0,"",IF(A5="","Missing ID",IF(COUNTIF($A$5:$A$104,A5)&gt;1,"Duplicate ID",IF(OR(C5="",D5="",E5="",F5=""),"Missing risk context",IF(OR(NOT(ISNUMBER(I5)),NOT(ISNUMBER(O5))),"Incomplete or invalid scores",IF(OR(Q5="",S5="",T5=""),"Missing treatment or owner",IF(NOT(ISNUMBER(U5)),"Missing or invalid target date",IF(U5&lt;=0,"Missing or invalid target date","OK"))))))))</x:f>
        <x:v>OK</x:v>
      </x:c>
      <x:c r="AE5" s="96" t="str">
        <x:f>IF(A5="","",IF(AND(OR(T5="Closed",T5="Accepted"),OR(AC5="",Z5&lt;&gt;"Evidence reviewed",AA5="",NOT(ISNUMBER(AB5)))),"Closure review needed",IF(OR(Y5="",Z5="",AA5="",NOT(ISNUMBER(AB5))),"Add assessment support",IF(AB5&lt;=0,"Add assessment support","Notes present"))))</x:f>
        <x:v>Notes present</x:v>
      </x:c>
    </x:row>
    <x:row r="6" ht="100" customHeight="1">
      <x:c r="A6" s="40" t="str">
        <x:v>R-002</x:v>
      </x:c>
      <x:c r="B6" s="40" t="str">
        <x:v>Identity &amp; Access</x:v>
      </x:c>
      <x:c r="C6" s="40" t="str">
        <x:v>Employee accounts</x:v>
      </x:c>
      <x:c r="D6" s="40" t="str">
        <x:v>A terminated employee account could remain active and be used to access company systems after separation.</x:v>
      </x:c>
      <x:c r="E6" s="40" t="str">
        <x:v>Insider misuse / account takeover</x:v>
      </x:c>
      <x:c r="F6" s="40" t="str">
        <x:v>Offboarding depends on manual HR-to-IT steps</x:v>
      </x:c>
      <x:c r="G6" s="40" t="n">
        <x:v>3</x:v>
      </x:c>
      <x:c r="H6" s="40" t="n">
        <x:v>5</x:v>
      </x:c>
      <x:c r="I6" s="41" t="n">
        <x:f>IF(A6="","",IF(COUNT(G6,H6)&lt;&gt;2,"",IF(AND(G6&gt;=1,G6&lt;=5,H6&gt;=1,H6&lt;=5,MOD(G6,1)=0,MOD(H6,1)=0),G6*H6,"")))</x:f>
        <x:v>15</x:v>
      </x:c>
      <x:c r="J6" s="41" t="str">
        <x:f>IF(A6="","",IF(ISNUMBER(I6),IF(I6&gt;=16,"Critical",IF(I6&gt;=10,"High",IF(I6&gt;=5,"Medium","Low"))),"Not assessed"))</x:f>
        <x:v>High</x:v>
      </x:c>
      <x:c r="K6" s="40" t="str">
        <x:v>HR ticket; manual account disablement</x:v>
      </x:c>
      <x:c r="L6" s="40" t="str">
        <x:v>Partially Effective</x:v>
      </x:c>
      <x:c r="M6" s="40" t="n">
        <x:v>2</x:v>
      </x:c>
      <x:c r="N6" s="40" t="n">
        <x:v>5</x:v>
      </x:c>
      <x:c r="O6" s="41" t="n">
        <x:f>IF(A6="","",IF(COUNT(M6,N6)&lt;&gt;2,"",IF(AND(M6&gt;=1,M6&lt;=5,N6&gt;=1,N6&lt;=5,MOD(M6,1)=0,MOD(N6,1)=0),M6*N6,"")))</x:f>
        <x:v>10</x:v>
      </x:c>
      <x:c r="P6" s="41" t="str">
        <x:f>IF(A6="","",IF(ISNUMBER(O6),IF(O6&gt;=16,"Critical",IF(O6&gt;=10,"High",IF(O6&gt;=5,"Medium","Low"))),"Not assessed"))</x:f>
        <x:v>High</x:v>
      </x:c>
      <x:c r="Q6" s="40" t="str">
        <x:v>Mitigate</x:v>
      </x:c>
      <x:c r="R6" s="40" t="str">
        <x:v>Formalize joiner-mover-leaver workflow and review inactive accounts monthly.</x:v>
      </x:c>
      <x:c r="S6" s="40" t="str">
        <x:v>HR Manager</x:v>
      </x:c>
      <x:c r="T6" s="40" t="str">
        <x:v>Planned</x:v>
      </x:c>
      <x:c r="U6" s="42" t="n">
        <x:v>46317</x:v>
      </x:c>
      <x:c r="V6" s="40" t="str">
        <x:v>Govern / Protect</x:v>
      </x:c>
      <x:c r="W6" s="40" t="str">
        <x:v>CIS 5, 6</x:v>
      </x:c>
      <x:c r="X6" s="40" t="str">
        <x:v>Validate disablement timestamps during periodic review.</x:v>
      </x:c>
      <x:c r="Y6" s="92" t="str">
        <x:v>Scenario assumption: manual disablement lowers likelihood from 3 to 2. Impact remains severe (5); no separate control limiting an account compromise is modeled. Validate both estimates with offboarding records.</x:v>
      </x:c>
      <x:c r="Z6" s="92" t="str">
        <x:v>Scenario only</x:v>
      </x:c>
      <x:c r="AA6" s="92" t="str">
        <x:v>To collect: HR departures, account disablement timestamps and removal tickets. No evidence files supplied.</x:v>
      </x:c>
      <x:c r="AB6" s="97" t="n">
        <x:v>46281</x:v>
      </x:c>
      <x:c r="AC6" s="92"/>
      <x:c r="AD6" s="96" t="str">
        <x:f>IF(COUNTA(A6:H6,K6:N6,Q6:AC6)=0,"",IF(A6="","Missing ID",IF(COUNTIF($A$5:$A$104,A6)&gt;1,"Duplicate ID",IF(OR(C6="",D6="",E6="",F6=""),"Missing risk context",IF(OR(NOT(ISNUMBER(I6)),NOT(ISNUMBER(O6))),"Incomplete or invalid scores",IF(OR(Q6="",S6="",T6=""),"Missing treatment or owner",IF(NOT(ISNUMBER(U6)),"Missing or invalid target date",IF(U6&lt;=0,"Missing or invalid target date","OK"))))))))</x:f>
        <x:v>OK</x:v>
      </x:c>
      <x:c r="AE6" s="96" t="str">
        <x:f>IF(A6="","",IF(AND(OR(T6="Closed",T6="Accepted"),OR(AC6="",Z6&lt;&gt;"Evidence reviewed",AA6="",NOT(ISNUMBER(AB6)))),"Closure review needed",IF(OR(Y6="",Z6="",AA6="",NOT(ISNUMBER(AB6))),"Add assessment support",IF(AB6&lt;=0,"Add assessment support","Notes present"))))</x:f>
        <x:v>Notes present</x:v>
      </x:c>
    </x:row>
    <x:row r="7" ht="100" customHeight="1">
      <x:c r="A7" s="40" t="str">
        <x:v>R-003</x:v>
      </x:c>
      <x:c r="B7" s="40" t="str">
        <x:v>Identity &amp; Access</x:v>
      </x:c>
      <x:c r="C7" s="40" t="str">
        <x:v>Microsoft 365</x:v>
      </x:c>
      <x:c r="D7" s="40" t="str">
        <x:v>Excessive group or role permissions could expose sensitive files to users who do not need access.</x:v>
      </x:c>
      <x:c r="E7" s="40" t="str">
        <x:v>Privilege misuse</x:v>
      </x:c>
      <x:c r="F7" s="40" t="str">
        <x:v>Access is granted over time without recurring certification</x:v>
      </x:c>
      <x:c r="G7" s="40" t="n">
        <x:v>4</x:v>
      </x:c>
      <x:c r="H7" s="40" t="n">
        <x:v>4</x:v>
      </x:c>
      <x:c r="I7" s="41" t="n">
        <x:f>IF(A7="","",IF(COUNT(G7,H7)&lt;&gt;2,"",IF(AND(G7&gt;=1,G7&lt;=5,H7&gt;=1,H7&lt;=5,MOD(G7,1)=0,MOD(H7,1)=0),G7*H7,"")))</x:f>
        <x:v>16</x:v>
      </x:c>
      <x:c r="J7" s="41" t="str">
        <x:f>IF(A7="","",IF(ISNUMBER(I7),IF(I7&gt;=16,"Critical",IF(I7&gt;=10,"High",IF(I7&gt;=5,"Medium","Low"))),"Not assessed"))</x:f>
        <x:v>Critical</x:v>
      </x:c>
      <x:c r="K7" s="40" t="str">
        <x:v>Manager approval; role-based groups</x:v>
      </x:c>
      <x:c r="L7" s="40" t="str">
        <x:v>Partially Effective</x:v>
      </x:c>
      <x:c r="M7" s="40" t="n">
        <x:v>2</x:v>
      </x:c>
      <x:c r="N7" s="40" t="n">
        <x:v>4</x:v>
      </x:c>
      <x:c r="O7" s="41" t="n">
        <x:f>IF(A7="","",IF(COUNT(M7,N7)&lt;&gt;2,"",IF(AND(M7&gt;=1,M7&lt;=5,N7&gt;=1,N7&lt;=5,MOD(M7,1)=0,MOD(N7,1)=0),M7*N7,"")))</x:f>
        <x:v>8</x:v>
      </x:c>
      <x:c r="P7" s="41" t="str">
        <x:f>IF(A7="","",IF(ISNUMBER(O7),IF(O7&gt;=16,"Critical",IF(O7&gt;=10,"High",IF(O7&gt;=5,"Medium","Low"))),"Not assessed"))</x:f>
        <x:v>Medium</x:v>
      </x:c>
      <x:c r="Q7" s="40" t="str">
        <x:v>Mitigate</x:v>
      </x:c>
      <x:c r="R7" s="40" t="str">
        <x:v>Run quarterly access reviews and remove unnecessary permissions.</x:v>
      </x:c>
      <x:c r="S7" s="40" t="str">
        <x:v>IT Manager</x:v>
      </x:c>
      <x:c r="T7" s="40" t="str">
        <x:v>In Progress</x:v>
      </x:c>
      <x:c r="U7" s="42" t="n">
        <x:v>46332</x:v>
      </x:c>
      <x:c r="V7" s="40" t="str">
        <x:v>Protect</x:v>
      </x:c>
      <x:c r="W7" s="40" t="str">
        <x:v>CIS 6</x:v>
      </x:c>
      <x:c r="X7" s="40" t="str">
        <x:v>Start with privileged and sensitive-data groups.</x:v>
      </x:c>
      <x:c r="Y7" s="92" t="str">
        <x:v>Scenario assumption: manager approval and role-based groups lower likelihood from 4 to 2. Impact stays major (4) because excessive access could still expose sensitive files. Access-review evidence is needed.</x:v>
      </x:c>
      <x:c r="Z7" s="92" t="str">
        <x:v>Scenario only</x:v>
      </x:c>
      <x:c r="AA7" s="92" t="str">
        <x:v>To collect: group membership, role assignments, manager approvals and review results. No evidence files supplied.</x:v>
      </x:c>
      <x:c r="AB7" s="97" t="n">
        <x:v>46281</x:v>
      </x:c>
      <x:c r="AC7" s="92"/>
      <x:c r="AD7" s="96" t="str">
        <x:f>IF(COUNTA(A7:H7,K7:N7,Q7:AC7)=0,"",IF(A7="","Missing ID",IF(COUNTIF($A$5:$A$104,A7)&gt;1,"Duplicate ID",IF(OR(C7="",D7="",E7="",F7=""),"Missing risk context",IF(OR(NOT(ISNUMBER(I7)),NOT(ISNUMBER(O7))),"Incomplete or invalid scores",IF(OR(Q7="",S7="",T7=""),"Missing treatment or owner",IF(NOT(ISNUMBER(U7)),"Missing or invalid target date",IF(U7&lt;=0,"Missing or invalid target date","OK"))))))))</x:f>
        <x:v>OK</x:v>
      </x:c>
      <x:c r="AE7" s="96" t="str">
        <x:f>IF(A7="","",IF(AND(OR(T7="Closed",T7="Accepted"),OR(AC7="",Z7&lt;&gt;"Evidence reviewed",AA7="",NOT(ISNUMBER(AB7)))),"Closure review needed",IF(OR(Y7="",Z7="",AA7="",NOT(ISNUMBER(AB7))),"Add assessment support",IF(AB7&lt;=0,"Add assessment support","Notes present"))))</x:f>
        <x:v>Notes present</x:v>
      </x:c>
    </x:row>
    <x:row r="8" ht="100" customHeight="1">
      <x:c r="A8" s="40" t="str">
        <x:v>R-004</x:v>
      </x:c>
      <x:c r="B8" s="40" t="str">
        <x:v>Cloud Security</x:v>
      </x:c>
      <x:c r="C8" s="40" t="str">
        <x:v>Production cloud environment</x:v>
      </x:c>
      <x:c r="D8" s="40" t="str">
        <x:v>Overly permissive network rules could expose an internal service to the internet.</x:v>
      </x:c>
      <x:c r="E8" s="40" t="str">
        <x:v>External attacker</x:v>
      </x:c>
      <x:c r="F8" s="40" t="str">
        <x:v>Cloud security groups permit broader inbound access than required</x:v>
      </x:c>
      <x:c r="G8" s="40" t="n">
        <x:v>4</x:v>
      </x:c>
      <x:c r="H8" s="40" t="n">
        <x:v>5</x:v>
      </x:c>
      <x:c r="I8" s="41" t="n">
        <x:f>IF(A8="","",IF(COUNT(G8,H8)&lt;&gt;2,"",IF(AND(G8&gt;=1,G8&lt;=5,H8&gt;=1,H8&lt;=5,MOD(G8,1)=0,MOD(H8,1)=0),G8*H8,"")))</x:f>
        <x:v>20</x:v>
      </x:c>
      <x:c r="J8" s="41" t="str">
        <x:f>IF(A8="","",IF(ISNUMBER(I8),IF(I8&gt;=16,"Critical",IF(I8&gt;=10,"High",IF(I8&gt;=5,"Medium","Low"))),"Not assessed"))</x:f>
        <x:v>Critical</x:v>
      </x:c>
      <x:c r="K8" s="40" t="str">
        <x:v>Cloud firewall; manual reviews</x:v>
      </x:c>
      <x:c r="L8" s="40" t="str">
        <x:v>Partially Effective</x:v>
      </x:c>
      <x:c r="M8" s="40" t="n">
        <x:v>2</x:v>
      </x:c>
      <x:c r="N8" s="40" t="n">
        <x:v>5</x:v>
      </x:c>
      <x:c r="O8" s="41" t="n">
        <x:f>IF(A8="","",IF(COUNT(M8,N8)&lt;&gt;2,"",IF(AND(M8&gt;=1,M8&lt;=5,N8&gt;=1,N8&lt;=5,MOD(M8,1)=0,MOD(N8,1)=0),M8*N8,"")))</x:f>
        <x:v>10</x:v>
      </x:c>
      <x:c r="P8" s="41" t="str">
        <x:f>IF(A8="","",IF(ISNUMBER(O8),IF(O8&gt;=16,"Critical",IF(O8&gt;=10,"High",IF(O8&gt;=5,"Medium","Low"))),"Not assessed"))</x:f>
        <x:v>High</x:v>
      </x:c>
      <x:c r="Q8" s="40" t="str">
        <x:v>Mitigate</x:v>
      </x:c>
      <x:c r="R8" s="40" t="str">
        <x:v>Restrict ingress to approved ports and sources; add recurring configuration reviews.</x:v>
      </x:c>
      <x:c r="S8" s="40" t="str">
        <x:v>Cloud Owner</x:v>
      </x:c>
      <x:c r="T8" s="40" t="str">
        <x:v>In Progress</x:v>
      </x:c>
      <x:c r="U8" s="42" t="n">
        <x:v>46293</x:v>
      </x:c>
      <x:c r="V8" s="40" t="str">
        <x:v>Protect</x:v>
      </x:c>
      <x:c r="W8" s="40" t="str">
        <x:v>CIS 4, 12</x:v>
      </x:c>
      <x:c r="X8" s="40" t="str">
        <x:v>Prioritize internet-facing resources.</x:v>
      </x:c>
      <x:c r="Y8" s="92" t="str">
        <x:v>Scenario assumption: firewall rules and manual reviews lower likelihood from 4 to 2. Impact remains severe (5) if a production service is exposed. Configuration evidence is needed to support this estimate.</x:v>
      </x:c>
      <x:c r="Z8" s="92" t="str">
        <x:v>Scenario only</x:v>
      </x:c>
      <x:c r="AA8" s="92" t="str">
        <x:v>To collect: security-group export, approved ingress baseline and configuration review record. No evidence files supplied.</x:v>
      </x:c>
      <x:c r="AB8" s="97" t="n">
        <x:v>46281</x:v>
      </x:c>
      <x:c r="AC8" s="92"/>
      <x:c r="AD8" s="96" t="str">
        <x:f>IF(COUNTA(A8:H8,K8:N8,Q8:AC8)=0,"",IF(A8="","Missing ID",IF(COUNTIF($A$5:$A$104,A8)&gt;1,"Duplicate ID",IF(OR(C8="",D8="",E8="",F8=""),"Missing risk context",IF(OR(NOT(ISNUMBER(I8)),NOT(ISNUMBER(O8))),"Incomplete or invalid scores",IF(OR(Q8="",S8="",T8=""),"Missing treatment or owner",IF(NOT(ISNUMBER(U8)),"Missing or invalid target date",IF(U8&lt;=0,"Missing or invalid target date","OK"))))))))</x:f>
        <x:v>OK</x:v>
      </x:c>
      <x:c r="AE8" s="96" t="str">
        <x:f>IF(A8="","",IF(AND(OR(T8="Closed",T8="Accepted"),OR(AC8="",Z8&lt;&gt;"Evidence reviewed",AA8="",NOT(ISNUMBER(AB8)))),"Closure review needed",IF(OR(Y8="",Z8="",AA8="",NOT(ISNUMBER(AB8))),"Add assessment support",IF(AB8&lt;=0,"Add assessment support","Notes present"))))</x:f>
        <x:v>Notes present</x:v>
      </x:c>
    </x:row>
    <x:row r="9" ht="100" customHeight="1">
      <x:c r="A9" s="40" t="str">
        <x:v>R-005</x:v>
      </x:c>
      <x:c r="B9" s="40" t="str">
        <x:v>Cloud Security</x:v>
      </x:c>
      <x:c r="C9" s="40" t="str">
        <x:v>Production database</x:v>
      </x:c>
      <x:c r="D9" s="40" t="str">
        <x:v>A cloud misconfiguration could expose restricted customer data to unauthorized users.</x:v>
      </x:c>
      <x:c r="E9" s="40" t="str">
        <x:v>Misconfiguration / external access</x:v>
      </x:c>
      <x:c r="F9" s="40" t="str">
        <x:v>Database or storage access settings are not continuously checked</x:v>
      </x:c>
      <x:c r="G9" s="40" t="n">
        <x:v>3</x:v>
      </x:c>
      <x:c r="H9" s="40" t="n">
        <x:v>5</x:v>
      </x:c>
      <x:c r="I9" s="41" t="n">
        <x:f>IF(A9="","",IF(COUNT(G9,H9)&lt;&gt;2,"",IF(AND(G9&gt;=1,G9&lt;=5,H9&gt;=1,H9&lt;=5,MOD(G9,1)=0,MOD(H9,1)=0),G9*H9,"")))</x:f>
        <x:v>15</x:v>
      </x:c>
      <x:c r="J9" s="41" t="str">
        <x:f>IF(A9="","",IF(ISNUMBER(I9),IF(I9&gt;=16,"Critical",IF(I9&gt;=10,"High",IF(I9&gt;=5,"Medium","Low"))),"Not assessed"))</x:f>
        <x:v>High</x:v>
      </x:c>
      <x:c r="K9" s="40" t="str">
        <x:v>Encryption at rest; IAM roles</x:v>
      </x:c>
      <x:c r="L9" s="40" t="str">
        <x:v>Partially Effective</x:v>
      </x:c>
      <x:c r="M9" s="40" t="n">
        <x:v>2</x:v>
      </x:c>
      <x:c r="N9" s="40" t="n">
        <x:v>5</x:v>
      </x:c>
      <x:c r="O9" s="41" t="n">
        <x:f>IF(A9="","",IF(COUNT(M9,N9)&lt;&gt;2,"",IF(AND(M9&gt;=1,M9&lt;=5,N9&gt;=1,N9&lt;=5,MOD(M9,1)=0,MOD(N9,1)=0),M9*N9,"")))</x:f>
        <x:v>10</x:v>
      </x:c>
      <x:c r="P9" s="41" t="str">
        <x:f>IF(A9="","",IF(ISNUMBER(O9),IF(O9&gt;=16,"Critical",IF(O9&gt;=10,"High",IF(O9&gt;=5,"Medium","Low"))),"Not assessed"))</x:f>
        <x:v>High</x:v>
      </x:c>
      <x:c r="Q9" s="40" t="str">
        <x:v>Mitigate</x:v>
      </x:c>
      <x:c r="R9" s="40" t="str">
        <x:v>Use private access, policy checks, and alerts for public exposure.</x:v>
      </x:c>
      <x:c r="S9" s="40" t="str">
        <x:v>Data Owner</x:v>
      </x:c>
      <x:c r="T9" s="40" t="str">
        <x:v>Planned</x:v>
      </x:c>
      <x:c r="U9" s="42" t="n">
        <x:v>46302</x:v>
      </x:c>
      <x:c r="V9" s="40" t="str">
        <x:v>Protect / Detect</x:v>
      </x:c>
      <x:c r="W9" s="40" t="str">
        <x:v>CIS 3, 4</x:v>
      </x:c>
      <x:c r="X9" s="40" t="str">
        <x:v>Simulated configuration risk.</x:v>
      </x:c>
      <x:c r="Y9" s="92" t="str">
        <x:v>Scenario assumption: IAM roles lower likelihood from 3 to 2. Encryption at rest does not prevent every authorized-query or public-access exposure, so impact remains severe (5). Validate configuration and access paths.</x:v>
      </x:c>
      <x:c r="Z9" s="92" t="str">
        <x:v>Scenario only</x:v>
      </x:c>
      <x:c r="AA9" s="92" t="str">
        <x:v>To collect: database access settings, IAM permissions and public-exposure checks. No evidence files supplied.</x:v>
      </x:c>
      <x:c r="AB9" s="97" t="n">
        <x:v>46281</x:v>
      </x:c>
      <x:c r="AC9" s="92"/>
      <x:c r="AD9" s="96" t="str">
        <x:f>IF(COUNTA(A9:H9,K9:N9,Q9:AC9)=0,"",IF(A9="","Missing ID",IF(COUNTIF($A$5:$A$104,A9)&gt;1,"Duplicate ID",IF(OR(C9="",D9="",E9="",F9=""),"Missing risk context",IF(OR(NOT(ISNUMBER(I9)),NOT(ISNUMBER(O9))),"Incomplete or invalid scores",IF(OR(Q9="",S9="",T9=""),"Missing treatment or owner",IF(NOT(ISNUMBER(U9)),"Missing or invalid target date",IF(U9&lt;=0,"Missing or invalid target date","OK"))))))))</x:f>
        <x:v>OK</x:v>
      </x:c>
      <x:c r="AE9" s="96" t="str">
        <x:f>IF(A9="","",IF(AND(OR(T9="Closed",T9="Accepted"),OR(AC9="",Z9&lt;&gt;"Evidence reviewed",AA9="",NOT(ISNUMBER(AB9)))),"Closure review needed",IF(OR(Y9="",Z9="",AA9="",NOT(ISNUMBER(AB9))),"Add assessment support",IF(AB9&lt;=0,"Add assessment support","Notes present"))))</x:f>
        <x:v>Notes present</x:v>
      </x:c>
    </x:row>
    <x:row r="10" ht="100" customHeight="1">
      <x:c r="A10" s="40" t="str">
        <x:v>R-006</x:v>
      </x:c>
      <x:c r="B10" s="40" t="str">
        <x:v>Endpoint Security</x:v>
      </x:c>
      <x:c r="C10" s="40" t="str">
        <x:v>Employee laptops</x:v>
      </x:c>
      <x:c r="D10" s="40" t="str">
        <x:v>Malware on an employee laptop could steal credentials or provide an attacker a foothold in the environment.</x:v>
      </x:c>
      <x:c r="E10" s="40" t="str">
        <x:v>Malware / ransomware</x:v>
      </x:c>
      <x:c r="F10" s="40" t="str">
        <x:v>EDR coverage and application control are incomplete</x:v>
      </x:c>
      <x:c r="G10" s="40" t="n">
        <x:v>4</x:v>
      </x:c>
      <x:c r="H10" s="40" t="n">
        <x:v>5</x:v>
      </x:c>
      <x:c r="I10" s="41" t="n">
        <x:f>IF(A10="","",IF(COUNT(G10,H10)&lt;&gt;2,"",IF(AND(G10&gt;=1,G10&lt;=5,H10&gt;=1,H10&lt;=5,MOD(G10,1)=0,MOD(H10,1)=0),G10*H10,"")))</x:f>
        <x:v>20</x:v>
      </x:c>
      <x:c r="J10" s="41" t="str">
        <x:f>IF(A10="","",IF(ISNUMBER(I10),IF(I10&gt;=16,"Critical",IF(I10&gt;=10,"High",IF(I10&gt;=5,"Medium","Low"))),"Not assessed"))</x:f>
        <x:v>Critical</x:v>
      </x:c>
      <x:c r="K10" s="40" t="str">
        <x:v>Antivirus; OS firewall; email filtering</x:v>
      </x:c>
      <x:c r="L10" s="40" t="str">
        <x:v>Partially Effective</x:v>
      </x:c>
      <x:c r="M10" s="40" t="n">
        <x:v>2</x:v>
      </x:c>
      <x:c r="N10" s="40" t="n">
        <x:v>4</x:v>
      </x:c>
      <x:c r="O10" s="41" t="n">
        <x:f>IF(A10="","",IF(COUNT(M10,N10)&lt;&gt;2,"",IF(AND(M10&gt;=1,M10&lt;=5,N10&gt;=1,N10&lt;=5,MOD(M10,1)=0,MOD(N10,1)=0),M10*N10,"")))</x:f>
        <x:v>8</x:v>
      </x:c>
      <x:c r="P10" s="41" t="str">
        <x:f>IF(A10="","",IF(ISNUMBER(O10),IF(O10&gt;=16,"Critical",IF(O10&gt;=10,"High",IF(O10&gt;=5,"Medium","Low"))),"Not assessed"))</x:f>
        <x:v>Medium</x:v>
      </x:c>
      <x:c r="Q10" s="40" t="str">
        <x:v>Mitigate</x:v>
      </x:c>
      <x:c r="R10" s="40" t="str">
        <x:v>Deploy EDR and a secure endpoint baseline; reduce local administrator access.</x:v>
      </x:c>
      <x:c r="S10" s="40" t="str">
        <x:v>Security Manager</x:v>
      </x:c>
      <x:c r="T10" s="40" t="str">
        <x:v>Planned</x:v>
      </x:c>
      <x:c r="U10" s="42" t="n">
        <x:v>46317</x:v>
      </x:c>
      <x:c r="V10" s="40" t="str">
        <x:v>Protect / Detect</x:v>
      </x:c>
      <x:c r="W10" s="40" t="str">
        <x:v>CIS 4, 10, 13</x:v>
      </x:c>
      <x:c r="X10" s="40" t="str">
        <x:v>Focus first on privileged and high-risk users.</x:v>
      </x:c>
      <x:c r="Y10" s="92"/>
      <x:c r="Z10" s="92" t="str">
        <x:v>Scenario only</x:v>
      </x:c>
      <x:c r="AA10" s="92"/>
      <x:c r="AB10" s="97"/>
      <x:c r="AC10" s="92"/>
      <x:c r="AD10" s="96" t="str">
        <x:f>IF(COUNTA(A10:H10,K10:N10,Q10:AC10)=0,"",IF(A10="","Missing ID",IF(COUNTIF($A$5:$A$104,A10)&gt;1,"Duplicate ID",IF(OR(C10="",D10="",E10="",F10=""),"Missing risk context",IF(OR(NOT(ISNUMBER(I10)),NOT(ISNUMBER(O10))),"Incomplete or invalid scores",IF(OR(Q10="",S10="",T10=""),"Missing treatment or owner",IF(NOT(ISNUMBER(U10)),"Missing or invalid target date",IF(U10&lt;=0,"Missing or invalid target date","OK"))))))))</x:f>
        <x:v>OK</x:v>
      </x:c>
      <x:c r="AE10" s="96" t="str">
        <x:f>IF(A10="","",IF(AND(OR(T10="Closed",T10="Accepted"),OR(AC10="",Z10&lt;&gt;"Evidence reviewed",AA10="",NOT(ISNUMBER(AB10)))),"Closure review needed",IF(OR(Y10="",Z10="",AA10="",NOT(ISNUMBER(AB10))),"Add assessment support",IF(AB10&lt;=0,"Add assessment support","Notes present"))))</x:f>
        <x:v>Add assessment support</x:v>
      </x:c>
    </x:row>
    <x:row r="11" ht="100" customHeight="1">
      <x:c r="A11" s="40" t="str">
        <x:v>R-007</x:v>
      </x:c>
      <x:c r="B11" s="40" t="str">
        <x:v>Endpoint Security</x:v>
      </x:c>
      <x:c r="C11" s="40" t="str">
        <x:v>Employee laptops</x:v>
      </x:c>
      <x:c r="D11" s="40" t="str">
        <x:v>A lost laptop could expose company data if local information is not adequately protected.</x:v>
      </x:c>
      <x:c r="E11" s="40" t="str">
        <x:v>Device loss / theft</x:v>
      </x:c>
      <x:c r="F11" s="40" t="str">
        <x:v>Encryption compliance is not verified for every endpoint</x:v>
      </x:c>
      <x:c r="G11" s="40" t="n">
        <x:v>3</x:v>
      </x:c>
      <x:c r="H11" s="40" t="n">
        <x:v>4</x:v>
      </x:c>
      <x:c r="I11" s="41" t="n">
        <x:f>IF(A11="","",IF(COUNT(G11,H11)&lt;&gt;2,"",IF(AND(G11&gt;=1,G11&lt;=5,H11&gt;=1,H11&lt;=5,MOD(G11,1)=0,MOD(H11,1)=0),G11*H11,"")))</x:f>
        <x:v>12</x:v>
      </x:c>
      <x:c r="J11" s="41" t="str">
        <x:f>IF(A11="","",IF(ISNUMBER(I11),IF(I11&gt;=16,"Critical",IF(I11&gt;=10,"High",IF(I11&gt;=5,"Medium","Low"))),"Not assessed"))</x:f>
        <x:v>High</x:v>
      </x:c>
      <x:c r="K11" s="40" t="str">
        <x:v>Device login; remote management; partial encryption</x:v>
      </x:c>
      <x:c r="L11" s="40" t="str">
        <x:v>Effective</x:v>
      </x:c>
      <x:c r="M11" s="40" t="n">
        <x:v>1</x:v>
      </x:c>
      <x:c r="N11" s="40" t="n">
        <x:v>3</x:v>
      </x:c>
      <x:c r="O11" s="41" t="n">
        <x:f>IF(A11="","",IF(COUNT(M11,N11)&lt;&gt;2,"",IF(AND(M11&gt;=1,M11&lt;=5,N11&gt;=1,N11&lt;=5,MOD(M11,1)=0,MOD(N11,1)=0),M11*N11,"")))</x:f>
        <x:v>3</x:v>
      </x:c>
      <x:c r="P11" s="41" t="str">
        <x:f>IF(A11="","",IF(ISNUMBER(O11),IF(O11&gt;=16,"Critical",IF(O11&gt;=10,"High",IF(O11&gt;=5,"Medium","Low"))),"Not assessed"))</x:f>
        <x:v>Low</x:v>
      </x:c>
      <x:c r="Q11" s="40" t="str">
        <x:v>Mitigate</x:v>
      </x:c>
      <x:c r="R11" s="40" t="str">
        <x:v>Verify full-disk encryption and enable remote wipe on all managed laptops.</x:v>
      </x:c>
      <x:c r="S11" s="40" t="str">
        <x:v>IT Manager</x:v>
      </x:c>
      <x:c r="T11" s="40" t="str">
        <x:v>Closed</x:v>
      </x:c>
      <x:c r="U11" s="42" t="n">
        <x:v>46258</x:v>
      </x:c>
      <x:c r="V11" s="40" t="str">
        <x:v>Protect</x:v>
      </x:c>
      <x:c r="W11" s="40" t="str">
        <x:v>CIS 1, 3</x:v>
      </x:c>
      <x:c r="X11" s="40" t="str">
        <x:v>Simulated closure: encryption compliance verified.</x:v>
      </x:c>
      <x:c r="Y11" s="92"/>
      <x:c r="Z11" s="92" t="str">
        <x:v>Scenario only</x:v>
      </x:c>
      <x:c r="AA11" s="92"/>
      <x:c r="AB11" s="97"/>
      <x:c r="AC11" s="92"/>
      <x:c r="AD11" s="96" t="str">
        <x:f>IF(COUNTA(A11:H11,K11:N11,Q11:AC11)=0,"",IF(A11="","Missing ID",IF(COUNTIF($A$5:$A$104,A11)&gt;1,"Duplicate ID",IF(OR(C11="",D11="",E11="",F11=""),"Missing risk context",IF(OR(NOT(ISNUMBER(I11)),NOT(ISNUMBER(O11))),"Incomplete or invalid scores",IF(OR(Q11="",S11="",T11=""),"Missing treatment or owner",IF(NOT(ISNUMBER(U11)),"Missing or invalid target date",IF(U11&lt;=0,"Missing or invalid target date","OK"))))))))</x:f>
        <x:v>OK</x:v>
      </x:c>
      <x:c r="AE11" s="96" t="str">
        <x:f>IF(A11="","",IF(AND(OR(T11="Closed",T11="Accepted"),OR(AC11="",Z11&lt;&gt;"Evidence reviewed",AA11="",NOT(ISNUMBER(AB11)))),"Closure review needed",IF(OR(Y11="",Z11="",AA11="",NOT(ISNUMBER(AB11))),"Add assessment support",IF(AB11&lt;=0,"Add assessment support","Notes present"))))</x:f>
        <x:v>Closure review needed</x:v>
      </x:c>
    </x:row>
    <x:row r="12" ht="100" customHeight="1">
      <x:c r="A12" s="40" t="str">
        <x:v>R-008</x:v>
      </x:c>
      <x:c r="B12" s="40" t="str">
        <x:v>Vulnerability Management</x:v>
      </x:c>
      <x:c r="C12" s="40" t="str">
        <x:v>Production servers</x:v>
      </x:c>
      <x:c r="D12" s="40" t="str">
        <x:v>Known vulnerabilities could remain exploitable longer than the business can tolerate.</x:v>
      </x:c>
      <x:c r="E12" s="40" t="str">
        <x:v>Known-vulnerability exploitation</x:v>
      </x:c>
      <x:c r="F12" s="40" t="str">
        <x:v>No formal severity-based remediation SLA</x:v>
      </x:c>
      <x:c r="G12" s="40" t="n">
        <x:v>4</x:v>
      </x:c>
      <x:c r="H12" s="40" t="n">
        <x:v>5</x:v>
      </x:c>
      <x:c r="I12" s="41" t="n">
        <x:f>IF(A12="","",IF(COUNT(G12,H12)&lt;&gt;2,"",IF(AND(G12&gt;=1,G12&lt;=5,H12&gt;=1,H12&lt;=5,MOD(G12,1)=0,MOD(H12,1)=0),G12*H12,"")))</x:f>
        <x:v>20</x:v>
      </x:c>
      <x:c r="J12" s="41" t="str">
        <x:f>IF(A12="","",IF(ISNUMBER(I12),IF(I12&gt;=16,"Critical",IF(I12&gt;=10,"High",IF(I12&gt;=5,"Medium","Low"))),"Not assessed"))</x:f>
        <x:v>Critical</x:v>
      </x:c>
      <x:c r="K12" s="40" t="str">
        <x:v>Monthly patch cycle; ad hoc scans</x:v>
      </x:c>
      <x:c r="L12" s="40" t="str">
        <x:v>Partially Effective</x:v>
      </x:c>
      <x:c r="M12" s="40" t="n">
        <x:v>3</x:v>
      </x:c>
      <x:c r="N12" s="40" t="n">
        <x:v>5</x:v>
      </x:c>
      <x:c r="O12" s="41" t="n">
        <x:f>IF(A12="","",IF(COUNT(M12,N12)&lt;&gt;2,"",IF(AND(M12&gt;=1,M12&lt;=5,N12&gt;=1,N12&lt;=5,MOD(M12,1)=0,MOD(N12,1)=0),M12*N12,"")))</x:f>
        <x:v>15</x:v>
      </x:c>
      <x:c r="P12" s="41" t="str">
        <x:f>IF(A12="","",IF(ISNUMBER(O12),IF(O12&gt;=16,"Critical",IF(O12&gt;=10,"High",IF(O12&gt;=5,"Medium","Low"))),"Not assessed"))</x:f>
        <x:v>High</x:v>
      </x:c>
      <x:c r="Q12" s="40" t="str">
        <x:v>Mitigate</x:v>
      </x:c>
      <x:c r="R12" s="40" t="str">
        <x:v>Establish recurring scanning and remediation SLAs based on severity and exposure.</x:v>
      </x:c>
      <x:c r="S12" s="40" t="str">
        <x:v>Security Manager</x:v>
      </x:c>
      <x:c r="T12" s="40" t="str">
        <x:v>In Progress</x:v>
      </x:c>
      <x:c r="U12" s="42" t="n">
        <x:v>46302</x:v>
      </x:c>
      <x:c r="V12" s="40" t="str">
        <x:v>Identify / Protect</x:v>
      </x:c>
      <x:c r="W12" s="40" t="str">
        <x:v>CIS 7</x:v>
      </x:c>
      <x:c r="X12" s="40" t="str">
        <x:v>Track exceptions and internet-facing findings separately.</x:v>
      </x:c>
      <x:c r="Y12" s="92"/>
      <x:c r="Z12" s="92" t="str">
        <x:v>Scenario only</x:v>
      </x:c>
      <x:c r="AA12" s="92"/>
      <x:c r="AB12" s="97"/>
      <x:c r="AC12" s="92"/>
      <x:c r="AD12" s="96" t="str">
        <x:f>IF(COUNTA(A12:H12,K12:N12,Q12:AC12)=0,"",IF(A12="","Missing ID",IF(COUNTIF($A$5:$A$104,A12)&gt;1,"Duplicate ID",IF(OR(C12="",D12="",E12="",F12=""),"Missing risk context",IF(OR(NOT(ISNUMBER(I12)),NOT(ISNUMBER(O12))),"Incomplete or invalid scores",IF(OR(Q12="",S12="",T12=""),"Missing treatment or owner",IF(NOT(ISNUMBER(U12)),"Missing or invalid target date",IF(U12&lt;=0,"Missing or invalid target date","OK"))))))))</x:f>
        <x:v>OK</x:v>
      </x:c>
      <x:c r="AE12" s="96" t="str">
        <x:f>IF(A12="","",IF(AND(OR(T12="Closed",T12="Accepted"),OR(AC12="",Z12&lt;&gt;"Evidence reviewed",AA12="",NOT(ISNUMBER(AB12)))),"Closure review needed",IF(OR(Y12="",Z12="",AA12="",NOT(ISNUMBER(AB12))),"Add assessment support",IF(AB12&lt;=0,"Add assessment support","Notes present"))))</x:f>
        <x:v>Add assessment support</x:v>
      </x:c>
    </x:row>
    <x:row r="13" ht="100" customHeight="1">
      <x:c r="A13" s="40" t="str">
        <x:v>R-009</x:v>
      </x:c>
      <x:c r="B13" s="40" t="str">
        <x:v>Application Security</x:v>
      </x:c>
      <x:c r="C13" s="40" t="str">
        <x:v>Source code / dependencies</x:v>
      </x:c>
      <x:c r="D13" s="40" t="str">
        <x:v>A vulnerable third-party dependency could introduce an exploitable weakness into the SaaS application.</x:v>
      </x:c>
      <x:c r="E13" s="40" t="str">
        <x:v>Software supply-chain vulnerability</x:v>
      </x:c>
      <x:c r="F13" s="40" t="str">
        <x:v>Dependencies are not continuously evaluated</x:v>
      </x:c>
      <x:c r="G13" s="40" t="n">
        <x:v>4</x:v>
      </x:c>
      <x:c r="H13" s="40" t="n">
        <x:v>4</x:v>
      </x:c>
      <x:c r="I13" s="41" t="n">
        <x:f>IF(A13="","",IF(COUNT(G13,H13)&lt;&gt;2,"",IF(AND(G13&gt;=1,G13&lt;=5,H13&gt;=1,H13&lt;=5,MOD(G13,1)=0,MOD(H13,1)=0),G13*H13,"")))</x:f>
        <x:v>16</x:v>
      </x:c>
      <x:c r="J13" s="41" t="str">
        <x:f>IF(A13="","",IF(ISNUMBER(I13),IF(I13&gt;=16,"Critical",IF(I13&gt;=10,"High",IF(I13&gt;=5,"Medium","Low"))),"Not assessed"))</x:f>
        <x:v>Critical</x:v>
      </x:c>
      <x:c r="K13" s="40" t="str">
        <x:v>Code review; package alerts</x:v>
      </x:c>
      <x:c r="L13" s="40" t="str">
        <x:v>Partially Effective</x:v>
      </x:c>
      <x:c r="M13" s="40" t="n">
        <x:v>2</x:v>
      </x:c>
      <x:c r="N13" s="40" t="n">
        <x:v>4</x:v>
      </x:c>
      <x:c r="O13" s="41" t="n">
        <x:f>IF(A13="","",IF(COUNT(M13,N13)&lt;&gt;2,"",IF(AND(M13&gt;=1,M13&lt;=5,N13&gt;=1,N13&lt;=5,MOD(M13,1)=0,MOD(N13,1)=0),M13*N13,"")))</x:f>
        <x:v>8</x:v>
      </x:c>
      <x:c r="P13" s="41" t="str">
        <x:f>IF(A13="","",IF(ISNUMBER(O13),IF(O13&gt;=16,"Critical",IF(O13&gt;=10,"High",IF(O13&gt;=5,"Medium","Low"))),"Not assessed"))</x:f>
        <x:v>Medium</x:v>
      </x:c>
      <x:c r="Q13" s="40" t="str">
        <x:v>Mitigate</x:v>
      </x:c>
      <x:c r="R13" s="40" t="str">
        <x:v>Use software composition analysis and define dependency-update requirements.</x:v>
      </x:c>
      <x:c r="S13" s="40" t="str">
        <x:v>Application Owner</x:v>
      </x:c>
      <x:c r="T13" s="40" t="str">
        <x:v>Planned</x:v>
      </x:c>
      <x:c r="U13" s="42" t="n">
        <x:v>46332</x:v>
      </x:c>
      <x:c r="V13" s="40" t="str">
        <x:v>Identify / Protect</x:v>
      </x:c>
      <x:c r="W13" s="40" t="str">
        <x:v>CIS 16</x:v>
      </x:c>
      <x:c r="X13" s="40" t="str">
        <x:v>Integrate checks into CI/CD.</x:v>
      </x:c>
      <x:c r="Y13" s="92"/>
      <x:c r="Z13" s="92" t="str">
        <x:v>Scenario only</x:v>
      </x:c>
      <x:c r="AA13" s="92"/>
      <x:c r="AB13" s="97"/>
      <x:c r="AC13" s="92"/>
      <x:c r="AD13" s="96" t="str">
        <x:f>IF(COUNTA(A13:H13,K13:N13,Q13:AC13)=0,"",IF(A13="","Missing ID",IF(COUNTIF($A$5:$A$104,A13)&gt;1,"Duplicate ID",IF(OR(C13="",D13="",E13="",F13=""),"Missing risk context",IF(OR(NOT(ISNUMBER(I13)),NOT(ISNUMBER(O13))),"Incomplete or invalid scores",IF(OR(Q13="",S13="",T13=""),"Missing treatment or owner",IF(NOT(ISNUMBER(U13)),"Missing or invalid target date",IF(U13&lt;=0,"Missing or invalid target date","OK"))))))))</x:f>
        <x:v>OK</x:v>
      </x:c>
      <x:c r="AE13" s="96" t="str">
        <x:f>IF(A13="","",IF(AND(OR(T13="Closed",T13="Accepted"),OR(AC13="",Z13&lt;&gt;"Evidence reviewed",AA13="",NOT(ISNUMBER(AB13)))),"Closure review needed",IF(OR(Y13="",Z13="",AA13="",NOT(ISNUMBER(AB13))),"Add assessment support",IF(AB13&lt;=0,"Add assessment support","Notes present"))))</x:f>
        <x:v>Add assessment support</x:v>
      </x:c>
    </x:row>
    <x:row r="14" ht="100" customHeight="1">
      <x:c r="A14" s="40" t="str">
        <x:v>R-010</x:v>
      </x:c>
      <x:c r="B14" s="40" t="str">
        <x:v>Data Protection</x:v>
      </x:c>
      <x:c r="C14" s="40" t="str">
        <x:v>Production database</x:v>
      </x:c>
      <x:c r="D14" s="40" t="str">
        <x:v>An internal user with excessive database access could view or modify restricted customer information.</x:v>
      </x:c>
      <x:c r="E14" s="40" t="str">
        <x:v>Unauthorized internal access</x:v>
      </x:c>
      <x:c r="F14" s="40" t="str">
        <x:v>Database roles exceed least-privilege needs</x:v>
      </x:c>
      <x:c r="G14" s="40" t="n">
        <x:v>3</x:v>
      </x:c>
      <x:c r="H14" s="40" t="n">
        <x:v>5</x:v>
      </x:c>
      <x:c r="I14" s="41" t="n">
        <x:f>IF(A14="","",IF(COUNT(G14,H14)&lt;&gt;2,"",IF(AND(G14&gt;=1,G14&lt;=5,H14&gt;=1,H14&lt;=5,MOD(G14,1)=0,MOD(H14,1)=0),G14*H14,"")))</x:f>
        <x:v>15</x:v>
      </x:c>
      <x:c r="J14" s="41" t="str">
        <x:f>IF(A14="","",IF(ISNUMBER(I14),IF(I14&gt;=16,"Critical",IF(I14&gt;=10,"High",IF(I14&gt;=5,"Medium","Low"))),"Not assessed"))</x:f>
        <x:v>High</x:v>
      </x:c>
      <x:c r="K14" s="40" t="str">
        <x:v>Authentication; database audit logs</x:v>
      </x:c>
      <x:c r="L14" s="40" t="str">
        <x:v>Partially Effective</x:v>
      </x:c>
      <x:c r="M14" s="40" t="n">
        <x:v>2</x:v>
      </x:c>
      <x:c r="N14" s="40" t="n">
        <x:v>4</x:v>
      </x:c>
      <x:c r="O14" s="41" t="n">
        <x:f>IF(A14="","",IF(COUNT(M14,N14)&lt;&gt;2,"",IF(AND(M14&gt;=1,M14&lt;=5,N14&gt;=1,N14&lt;=5,MOD(M14,1)=0,MOD(N14,1)=0),M14*N14,"")))</x:f>
        <x:v>8</x:v>
      </x:c>
      <x:c r="P14" s="41" t="str">
        <x:f>IF(A14="","",IF(ISNUMBER(O14),IF(O14&gt;=16,"Critical",IF(O14&gt;=10,"High",IF(O14&gt;=5,"Medium","Low"))),"Not assessed"))</x:f>
        <x:v>Medium</x:v>
      </x:c>
      <x:c r="Q14" s="40" t="str">
        <x:v>Mitigate</x:v>
      </x:c>
      <x:c r="R14" s="40" t="str">
        <x:v>Create least-privilege roles and conduct quarterly database access reviews.</x:v>
      </x:c>
      <x:c r="S14" s="40" t="str">
        <x:v>Data Owner</x:v>
      </x:c>
      <x:c r="T14" s="40" t="str">
        <x:v>In Progress</x:v>
      </x:c>
      <x:c r="U14" s="42" t="n">
        <x:v>46317</x:v>
      </x:c>
      <x:c r="V14" s="40" t="str">
        <x:v>Protect / Detect</x:v>
      </x:c>
      <x:c r="W14" s="40" t="str">
        <x:v>CIS 3, 6, 8</x:v>
      </x:c>
      <x:c r="X14" s="40" t="str">
        <x:v>Separate admin and analyst access.</x:v>
      </x:c>
      <x:c r="Y14" s="92"/>
      <x:c r="Z14" s="92" t="str">
        <x:v>Scenario only</x:v>
      </x:c>
      <x:c r="AA14" s="92"/>
      <x:c r="AB14" s="97"/>
      <x:c r="AC14" s="92"/>
      <x:c r="AD14" s="96" t="str">
        <x:f>IF(COUNTA(A14:H14,K14:N14,Q14:AC14)=0,"",IF(A14="","Missing ID",IF(COUNTIF($A$5:$A$104,A14)&gt;1,"Duplicate ID",IF(OR(C14="",D14="",E14="",F14=""),"Missing risk context",IF(OR(NOT(ISNUMBER(I14)),NOT(ISNUMBER(O14))),"Incomplete or invalid scores",IF(OR(Q14="",S14="",T14=""),"Missing treatment or owner",IF(NOT(ISNUMBER(U14)),"Missing or invalid target date",IF(U14&lt;=0,"Missing or invalid target date","OK"))))))))</x:f>
        <x:v>OK</x:v>
      </x:c>
      <x:c r="AE14" s="96" t="str">
        <x:f>IF(A14="","",IF(AND(OR(T14="Closed",T14="Accepted"),OR(AC14="",Z14&lt;&gt;"Evidence reviewed",AA14="",NOT(ISNUMBER(AB14)))),"Closure review needed",IF(OR(Y14="",Z14="",AA14="",NOT(ISNUMBER(AB14))),"Add assessment support",IF(AB14&lt;=0,"Add assessment support","Notes present"))))</x:f>
        <x:v>Add assessment support</x:v>
      </x:c>
    </x:row>
    <x:row r="15" ht="100" customHeight="1">
      <x:c r="A15" s="40" t="str">
        <x:v>R-011</x:v>
      </x:c>
      <x:c r="B15" s="40" t="str">
        <x:v>Data Protection</x:v>
      </x:c>
      <x:c r="C15" s="40" t="str">
        <x:v>Microsoft 365</x:v>
      </x:c>
      <x:c r="D15" s="40" t="str">
        <x:v>Employees could unintentionally share confidential files outside the company.</x:v>
      </x:c>
      <x:c r="E15" s="40" t="str">
        <x:v>Accidental disclosure</x:v>
      </x:c>
      <x:c r="F15" s="40" t="str">
        <x:v>External-sharing settings and data handling rules are permissive</x:v>
      </x:c>
      <x:c r="G15" s="40" t="n">
        <x:v>4</x:v>
      </x:c>
      <x:c r="H15" s="40" t="n">
        <x:v>4</x:v>
      </x:c>
      <x:c r="I15" s="41" t="n">
        <x:f>IF(A15="","",IF(COUNT(G15,H15)&lt;&gt;2,"",IF(AND(G15&gt;=1,G15&lt;=5,H15&gt;=1,H15&lt;=5,MOD(G15,1)=0,MOD(H15,1)=0),G15*H15,"")))</x:f>
        <x:v>16</x:v>
      </x:c>
      <x:c r="J15" s="41" t="str">
        <x:f>IF(A15="","",IF(ISNUMBER(I15),IF(I15&gt;=16,"Critical",IF(I15&gt;=10,"High",IF(I15&gt;=5,"Medium","Low"))),"Not assessed"))</x:f>
        <x:v>Critical</x:v>
      </x:c>
      <x:c r="K15" s="40" t="str">
        <x:v>Default sharing controls; awareness training</x:v>
      </x:c>
      <x:c r="L15" s="40" t="str">
        <x:v>Partially Effective</x:v>
      </x:c>
      <x:c r="M15" s="40" t="n">
        <x:v>2</x:v>
      </x:c>
      <x:c r="N15" s="40" t="n">
        <x:v>3</x:v>
      </x:c>
      <x:c r="O15" s="41" t="n">
        <x:f>IF(A15="","",IF(COUNT(M15,N15)&lt;&gt;2,"",IF(AND(M15&gt;=1,M15&lt;=5,N15&gt;=1,N15&lt;=5,MOD(M15,1)=0,MOD(N15,1)=0),M15*N15,"")))</x:f>
        <x:v>6</x:v>
      </x:c>
      <x:c r="P15" s="41" t="str">
        <x:f>IF(A15="","",IF(ISNUMBER(O15),IF(O15&gt;=16,"Critical",IF(O15&gt;=10,"High",IF(O15&gt;=5,"Medium","Low"))),"Not assessed"))</x:f>
        <x:v>Medium</x:v>
      </x:c>
      <x:c r="Q15" s="40" t="str">
        <x:v>Mitigate</x:v>
      </x:c>
      <x:c r="R15" s="40" t="str">
        <x:v>Restrict anonymous links and implement sensitivity labels or DLP for sensitive data.</x:v>
      </x:c>
      <x:c r="S15" s="40" t="str">
        <x:v>Data Owner</x:v>
      </x:c>
      <x:c r="T15" s="40" t="str">
        <x:v>Planned</x:v>
      </x:c>
      <x:c r="U15" s="42" t="n">
        <x:v>46317</x:v>
      </x:c>
      <x:c r="V15" s="40" t="str">
        <x:v>Protect</x:v>
      </x:c>
      <x:c r="W15" s="40" t="str">
        <x:v>CIS 3, 14</x:v>
      </x:c>
      <x:c r="X15" s="40" t="str">
        <x:v>Validate with sample sharing tests.</x:v>
      </x:c>
      <x:c r="Y15" s="92"/>
      <x:c r="Z15" s="92" t="str">
        <x:v>Scenario only</x:v>
      </x:c>
      <x:c r="AA15" s="92"/>
      <x:c r="AB15" s="97"/>
      <x:c r="AC15" s="92"/>
      <x:c r="AD15" s="96" t="str">
        <x:f>IF(COUNTA(A15:H15,K15:N15,Q15:AC15)=0,"",IF(A15="","Missing ID",IF(COUNTIF($A$5:$A$104,A15)&gt;1,"Duplicate ID",IF(OR(C15="",D15="",E15="",F15=""),"Missing risk context",IF(OR(NOT(ISNUMBER(I15)),NOT(ISNUMBER(O15))),"Incomplete or invalid scores",IF(OR(Q15="",S15="",T15=""),"Missing treatment or owner",IF(NOT(ISNUMBER(U15)),"Missing or invalid target date",IF(U15&lt;=0,"Missing or invalid target date","OK"))))))))</x:f>
        <x:v>OK</x:v>
      </x:c>
      <x:c r="AE15" s="96" t="str">
        <x:f>IF(A15="","",IF(AND(OR(T15="Closed",T15="Accepted"),OR(AC15="",Z15&lt;&gt;"Evidence reviewed",AA15="",NOT(ISNUMBER(AB15)))),"Closure review needed",IF(OR(Y15="",Z15="",AA15="",NOT(ISNUMBER(AB15))),"Add assessment support",IF(AB15&lt;=0,"Add assessment support","Notes present"))))</x:f>
        <x:v>Add assessment support</x:v>
      </x:c>
    </x:row>
    <x:row r="16" ht="100" customHeight="1">
      <x:c r="A16" s="40" t="str">
        <x:v>R-012</x:v>
      </x:c>
      <x:c r="B16" s="40" t="str">
        <x:v>Third-Party Risk</x:v>
      </x:c>
      <x:c r="C16" s="40" t="str">
        <x:v>Critical vendors</x:v>
      </x:c>
      <x:c r="D16" s="40" t="str">
        <x:v>A security incident at a key vendor could expose company data or interrupt a critical service.</x:v>
      </x:c>
      <x:c r="E16" s="40" t="str">
        <x:v>Vendor breach / outage</x:v>
      </x:c>
      <x:c r="F16" s="40" t="str">
        <x:v>Vendor security due diligence is inconsistent</x:v>
      </x:c>
      <x:c r="G16" s="40" t="n">
        <x:v>4</x:v>
      </x:c>
      <x:c r="H16" s="40" t="n">
        <x:v>5</x:v>
      </x:c>
      <x:c r="I16" s="41" t="n">
        <x:f>IF(A16="","",IF(COUNT(G16,H16)&lt;&gt;2,"",IF(AND(G16&gt;=1,G16&lt;=5,H16&gt;=1,H16&lt;=5,MOD(G16,1)=0,MOD(H16,1)=0),G16*H16,"")))</x:f>
        <x:v>20</x:v>
      </x:c>
      <x:c r="J16" s="41" t="str">
        <x:f>IF(A16="","",IF(ISNUMBER(I16),IF(I16&gt;=16,"Critical",IF(I16&gt;=10,"High",IF(I16&gt;=5,"Medium","Low"))),"Not assessed"))</x:f>
        <x:v>Critical</x:v>
      </x:c>
      <x:c r="K16" s="40" t="str">
        <x:v>Contracts; procurement review</x:v>
      </x:c>
      <x:c r="L16" s="40" t="str">
        <x:v>Ineffective</x:v>
      </x:c>
      <x:c r="M16" s="40" t="n">
        <x:v>3</x:v>
      </x:c>
      <x:c r="N16" s="40" t="n">
        <x:v>5</x:v>
      </x:c>
      <x:c r="O16" s="41" t="n">
        <x:f>IF(A16="","",IF(COUNT(M16,N16)&lt;&gt;2,"",IF(AND(M16&gt;=1,M16&lt;=5,N16&gt;=1,N16&lt;=5,MOD(M16,1)=0,MOD(N16,1)=0),M16*N16,"")))</x:f>
        <x:v>15</x:v>
      </x:c>
      <x:c r="P16" s="41" t="str">
        <x:f>IF(A16="","",IF(ISNUMBER(O16),IF(O16&gt;=16,"Critical",IF(O16&gt;=10,"High",IF(O16&gt;=5,"Medium","Low"))),"Not assessed"))</x:f>
        <x:v>High</x:v>
      </x:c>
      <x:c r="Q16" s="40" t="str">
        <x:v>Mitigate</x:v>
      </x:c>
      <x:c r="R16" s="40" t="str">
        <x:v>Tier vendors, perform security reviews, and add security/notification clauses to contracts.</x:v>
      </x:c>
      <x:c r="S16" s="40" t="str">
        <x:v>Vendor Manager</x:v>
      </x:c>
      <x:c r="T16" s="40" t="str">
        <x:v>Open</x:v>
      </x:c>
      <x:c r="U16" s="42" t="n">
        <x:v>46302</x:v>
      </x:c>
      <x:c r="V16" s="40" t="str">
        <x:v>Govern / Identify</x:v>
      </x:c>
      <x:c r="W16" s="40" t="str">
        <x:v>CIS 15</x:v>
      </x:c>
      <x:c r="X16" s="40" t="str">
        <x:v>Begin with vendors that handle restricted data or production access.</x:v>
      </x:c>
      <x:c r="Y16" s="92"/>
      <x:c r="Z16" s="92" t="str">
        <x:v>Scenario only</x:v>
      </x:c>
      <x:c r="AA16" s="92"/>
      <x:c r="AB16" s="97"/>
      <x:c r="AC16" s="92"/>
      <x:c r="AD16" s="96" t="str">
        <x:f>IF(COUNTA(A16:H16,K16:N16,Q16:AC16)=0,"",IF(A16="","Missing ID",IF(COUNTIF($A$5:$A$104,A16)&gt;1,"Duplicate ID",IF(OR(C16="",D16="",E16="",F16=""),"Missing risk context",IF(OR(NOT(ISNUMBER(I16)),NOT(ISNUMBER(O16))),"Incomplete or invalid scores",IF(OR(Q16="",S16="",T16=""),"Missing treatment or owner",IF(NOT(ISNUMBER(U16)),"Missing or invalid target date",IF(U16&lt;=0,"Missing or invalid target date","OK"))))))))</x:f>
        <x:v>OK</x:v>
      </x:c>
      <x:c r="AE16" s="96" t="str">
        <x:f>IF(A16="","",IF(AND(OR(T16="Closed",T16="Accepted"),OR(AC16="",Z16&lt;&gt;"Evidence reviewed",AA16="",NOT(ISNUMBER(AB16)))),"Closure review needed",IF(OR(Y16="",Z16="",AA16="",NOT(ISNUMBER(AB16))),"Add assessment support",IF(AB16&lt;=0,"Add assessment support","Notes present"))))</x:f>
        <x:v>Add assessment support</x:v>
      </x:c>
    </x:row>
    <x:row r="17" ht="100" customHeight="1">
      <x:c r="A17" s="40" t="str">
        <x:v>R-013</x:v>
      </x:c>
      <x:c r="B17" s="40" t="str">
        <x:v>Third-Party Risk</x:v>
      </x:c>
      <x:c r="C17" s="40" t="str">
        <x:v>SaaS vendors</x:v>
      </x:c>
      <x:c r="D17" s="40" t="str">
        <x:v>Unapproved SaaS services could process company data without security review.</x:v>
      </x:c>
      <x:c r="E17" s="40" t="str">
        <x:v>Shadow SaaS</x:v>
      </x:c>
      <x:c r="F17" s="40" t="str">
        <x:v>No complete service-provider inventory</x:v>
      </x:c>
      <x:c r="G17" s="40" t="n">
        <x:v>3</x:v>
      </x:c>
      <x:c r="H17" s="40" t="n">
        <x:v>4</x:v>
      </x:c>
      <x:c r="I17" s="41" t="n">
        <x:f>IF(A17="","",IF(COUNT(G17,H17)&lt;&gt;2,"",IF(AND(G17&gt;=1,G17&lt;=5,H17&gt;=1,H17&lt;=5,MOD(G17,1)=0,MOD(H17,1)=0),G17*H17,"")))</x:f>
        <x:v>12</x:v>
      </x:c>
      <x:c r="J17" s="41" t="str">
        <x:f>IF(A17="","",IF(ISNUMBER(I17),IF(I17&gt;=16,"Critical",IF(I17&gt;=10,"High",IF(I17&gt;=5,"Medium","Low"))),"Not assessed"))</x:f>
        <x:v>High</x:v>
      </x:c>
      <x:c r="K17" s="40" t="str">
        <x:v>Procurement records</x:v>
      </x:c>
      <x:c r="L17" s="40" t="str">
        <x:v>Ineffective</x:v>
      </x:c>
      <x:c r="M17" s="40" t="n">
        <x:v>2</x:v>
      </x:c>
      <x:c r="N17" s="40" t="n">
        <x:v>4</x:v>
      </x:c>
      <x:c r="O17" s="41" t="n">
        <x:f>IF(A17="","",IF(COUNT(M17,N17)&lt;&gt;2,"",IF(AND(M17&gt;=1,M17&lt;=5,N17&gt;=1,N17&lt;=5,MOD(M17,1)=0,MOD(N17,1)=0),M17*N17,"")))</x:f>
        <x:v>8</x:v>
      </x:c>
      <x:c r="P17" s="41" t="str">
        <x:f>IF(A17="","",IF(ISNUMBER(O17),IF(O17&gt;=16,"Critical",IF(O17&gt;=10,"High",IF(O17&gt;=5,"Medium","Low"))),"Not assessed"))</x:f>
        <x:v>Medium</x:v>
      </x:c>
      <x:c r="Q17" s="40" t="str">
        <x:v>Mitigate</x:v>
      </x:c>
      <x:c r="R17" s="40" t="str">
        <x:v>Create a vendor/SaaS inventory and approval process.</x:v>
      </x:c>
      <x:c r="S17" s="40" t="str">
        <x:v>Vendor Manager</x:v>
      </x:c>
      <x:c r="T17" s="40" t="str">
        <x:v>Planned</x:v>
      </x:c>
      <x:c r="U17" s="42" t="n">
        <x:v>46332</x:v>
      </x:c>
      <x:c r="V17" s="40" t="str">
        <x:v>Govern / Identify</x:v>
      </x:c>
      <x:c r="W17" s="40" t="str">
        <x:v>CIS 15</x:v>
      </x:c>
      <x:c r="X17" s="40" t="str">
        <x:v>Reconcile procurement and expense records.</x:v>
      </x:c>
      <x:c r="Y17" s="92"/>
      <x:c r="Z17" s="92" t="str">
        <x:v>Scenario only</x:v>
      </x:c>
      <x:c r="AA17" s="92"/>
      <x:c r="AB17" s="97"/>
      <x:c r="AC17" s="92"/>
      <x:c r="AD17" s="96" t="str">
        <x:f>IF(COUNTA(A17:H17,K17:N17,Q17:AC17)=0,"",IF(A17="","Missing ID",IF(COUNTIF($A$5:$A$104,A17)&gt;1,"Duplicate ID",IF(OR(C17="",D17="",E17="",F17=""),"Missing risk context",IF(OR(NOT(ISNUMBER(I17)),NOT(ISNUMBER(O17))),"Incomplete or invalid scores",IF(OR(Q17="",S17="",T17=""),"Missing treatment or owner",IF(NOT(ISNUMBER(U17)),"Missing or invalid target date",IF(U17&lt;=0,"Missing or invalid target date","OK"))))))))</x:f>
        <x:v>OK</x:v>
      </x:c>
      <x:c r="AE17" s="96" t="str">
        <x:f>IF(A17="","",IF(AND(OR(T17="Closed",T17="Accepted"),OR(AC17="",Z17&lt;&gt;"Evidence reviewed",AA17="",NOT(ISNUMBER(AB17)))),"Closure review needed",IF(OR(Y17="",Z17="",AA17="",NOT(ISNUMBER(AB17))),"Add assessment support",IF(AB17&lt;=0,"Add assessment support","Notes present"))))</x:f>
        <x:v>Add assessment support</x:v>
      </x:c>
    </x:row>
    <x:row r="18" ht="100" customHeight="1">
      <x:c r="A18" s="40" t="str">
        <x:v>R-014</x:v>
      </x:c>
      <x:c r="B18" s="40" t="str">
        <x:v>Incident Response</x:v>
      </x:c>
      <x:c r="C18" s="40" t="str">
        <x:v>Security logging</x:v>
      </x:c>
      <x:c r="D18" s="40" t="str">
        <x:v>A compromise could remain undetected because security logs are fragmented across systems.</x:v>
      </x:c>
      <x:c r="E18" s="40" t="str">
        <x:v>Undetected attacker activity</x:v>
      </x:c>
      <x:c r="F18" s="40" t="str">
        <x:v>Critical identity, endpoint, cloud, and network logs are not centralized</x:v>
      </x:c>
      <x:c r="G18" s="40" t="n">
        <x:v>4</x:v>
      </x:c>
      <x:c r="H18" s="40" t="n">
        <x:v>5</x:v>
      </x:c>
      <x:c r="I18" s="41" t="n">
        <x:f>IF(A18="","",IF(COUNT(G18,H18)&lt;&gt;2,"",IF(AND(G18&gt;=1,G18&lt;=5,H18&gt;=1,H18&lt;=5,MOD(G18,1)=0,MOD(H18,1)=0),G18*H18,"")))</x:f>
        <x:v>20</x:v>
      </x:c>
      <x:c r="J18" s="41" t="str">
        <x:f>IF(A18="","",IF(ISNUMBER(I18),IF(I18&gt;=16,"Critical",IF(I18&gt;=10,"High",IF(I18&gt;=5,"Medium","Low"))),"Not assessed"))</x:f>
        <x:v>Critical</x:v>
      </x:c>
      <x:c r="K18" s="40" t="str">
        <x:v>Native platform logs</x:v>
      </x:c>
      <x:c r="L18" s="40" t="str">
        <x:v>Ineffective</x:v>
      </x:c>
      <x:c r="M18" s="40" t="n">
        <x:v>3</x:v>
      </x:c>
      <x:c r="N18" s="40" t="n">
        <x:v>5</x:v>
      </x:c>
      <x:c r="O18" s="41" t="n">
        <x:f>IF(A18="","",IF(COUNT(M18,N18)&lt;&gt;2,"",IF(AND(M18&gt;=1,M18&lt;=5,N18&gt;=1,N18&lt;=5,MOD(M18,1)=0,MOD(N18,1)=0),M18*N18,"")))</x:f>
        <x:v>15</x:v>
      </x:c>
      <x:c r="P18" s="41" t="str">
        <x:f>IF(A18="","",IF(ISNUMBER(O18),IF(O18&gt;=16,"Critical",IF(O18&gt;=10,"High",IF(O18&gt;=5,"Medium","Low"))),"Not assessed"))</x:f>
        <x:v>High</x:v>
      </x:c>
      <x:c r="Q18" s="40" t="str">
        <x:v>Mitigate</x:v>
      </x:c>
      <x:c r="R18" s="40" t="str">
        <x:v>Centralize priority log sources and define minimum retention and alerting requirements.</x:v>
      </x:c>
      <x:c r="S18" s="40" t="str">
        <x:v>Security Manager</x:v>
      </x:c>
      <x:c r="T18" s="40" t="str">
        <x:v>Open</x:v>
      </x:c>
      <x:c r="U18" s="42" t="n">
        <x:v>46302</x:v>
      </x:c>
      <x:c r="V18" s="40" t="str">
        <x:v>Detect</x:v>
      </x:c>
      <x:c r="W18" s="40" t="str">
        <x:v>CIS 8, 13</x:v>
      </x:c>
      <x:c r="X18" s="40" t="str">
        <x:v>Start with identity, endpoint, firewall, and cloud administration logs.</x:v>
      </x:c>
      <x:c r="Y18" s="92"/>
      <x:c r="Z18" s="92" t="str">
        <x:v>Scenario only</x:v>
      </x:c>
      <x:c r="AA18" s="92"/>
      <x:c r="AB18" s="97"/>
      <x:c r="AC18" s="92"/>
      <x:c r="AD18" s="96" t="str">
        <x:f>IF(COUNTA(A18:H18,K18:N18,Q18:AC18)=0,"",IF(A18="","Missing ID",IF(COUNTIF($A$5:$A$104,A18)&gt;1,"Duplicate ID",IF(OR(C18="",D18="",E18="",F18=""),"Missing risk context",IF(OR(NOT(ISNUMBER(I18)),NOT(ISNUMBER(O18))),"Incomplete or invalid scores",IF(OR(Q18="",S18="",T18=""),"Missing treatment or owner",IF(NOT(ISNUMBER(U18)),"Missing or invalid target date",IF(U18&lt;=0,"Missing or invalid target date","OK"))))))))</x:f>
        <x:v>OK</x:v>
      </x:c>
      <x:c r="AE18" s="96" t="str">
        <x:f>IF(A18="","",IF(AND(OR(T18="Closed",T18="Accepted"),OR(AC18="",Z18&lt;&gt;"Evidence reviewed",AA18="",NOT(ISNUMBER(AB18)))),"Closure review needed",IF(OR(Y18="",Z18="",AA18="",NOT(ISNUMBER(AB18))),"Add assessment support",IF(AB18&lt;=0,"Add assessment support","Notes present"))))</x:f>
        <x:v>Add assessment support</x:v>
      </x:c>
    </x:row>
    <x:row r="19" ht="100" customHeight="1">
      <x:c r="A19" s="40" t="str">
        <x:v>R-015</x:v>
      </x:c>
      <x:c r="B19" s="40" t="str">
        <x:v>Incident Response</x:v>
      </x:c>
      <x:c r="C19" s="40" t="str">
        <x:v>Organization-wide</x:v>
      </x:c>
      <x:c r="D19" s="40" t="str">
        <x:v>A major cyber incident could be handled inconsistently because roles, escalation criteria, and communications are not fully documented.</x:v>
      </x:c>
      <x:c r="E19" s="40" t="str">
        <x:v>Cyber incident</x:v>
      </x:c>
      <x:c r="F19" s="40" t="str">
        <x:v>Incident response plan is incomplete and untested</x:v>
      </x:c>
      <x:c r="G19" s="40" t="n">
        <x:v>4</x:v>
      </x:c>
      <x:c r="H19" s="40" t="n">
        <x:v>5</x:v>
      </x:c>
      <x:c r="I19" s="41" t="n">
        <x:f>IF(A19="","",IF(COUNT(G19,H19)&lt;&gt;2,"",IF(AND(G19&gt;=1,G19&lt;=5,H19&gt;=1,H19&lt;=5,MOD(G19,1)=0,MOD(H19,1)=0),G19*H19,"")))</x:f>
        <x:v>20</x:v>
      </x:c>
      <x:c r="J19" s="41" t="str">
        <x:f>IF(A19="","",IF(ISNUMBER(I19),IF(I19&gt;=16,"Critical",IF(I19&gt;=10,"High",IF(I19&gt;=5,"Medium","Low"))),"Not assessed"))</x:f>
        <x:v>Critical</x:v>
      </x:c>
      <x:c r="K19" s="40" t="str">
        <x:v>Informal escalation contacts</x:v>
      </x:c>
      <x:c r="L19" s="40" t="str">
        <x:v>Ineffective</x:v>
      </x:c>
      <x:c r="M19" s="40" t="n">
        <x:v>3</x:v>
      </x:c>
      <x:c r="N19" s="40" t="n">
        <x:v>5</x:v>
      </x:c>
      <x:c r="O19" s="41" t="n">
        <x:f>IF(A19="","",IF(COUNT(M19,N19)&lt;&gt;2,"",IF(AND(M19&gt;=1,M19&lt;=5,N19&gt;=1,N19&lt;=5,MOD(M19,1)=0,MOD(N19,1)=0),M19*N19,"")))</x:f>
        <x:v>15</x:v>
      </x:c>
      <x:c r="P19" s="41" t="str">
        <x:f>IF(A19="","",IF(ISNUMBER(O19),IF(O19&gt;=16,"Critical",IF(O19&gt;=10,"High",IF(O19&gt;=5,"Medium","Low"))),"Not assessed"))</x:f>
        <x:v>High</x:v>
      </x:c>
      <x:c r="Q19" s="40" t="str">
        <x:v>Mitigate</x:v>
      </x:c>
      <x:c r="R19" s="40" t="str">
        <x:v>Create an incident response plan and conduct a tabletop exercise.</x:v>
      </x:c>
      <x:c r="S19" s="40" t="str">
        <x:v>Security Manager</x:v>
      </x:c>
      <x:c r="T19" s="40" t="str">
        <x:v>Open</x:v>
      </x:c>
      <x:c r="U19" s="42" t="n">
        <x:v>46317</x:v>
      </x:c>
      <x:c r="V19" s="40" t="str">
        <x:v>Respond</x:v>
      </x:c>
      <x:c r="W19" s="40" t="str">
        <x:v>CIS 17</x:v>
      </x:c>
      <x:c r="X19" s="40" t="str">
        <x:v>Suggested exercise: ransomware or privileged-account compromise.</x:v>
      </x:c>
      <x:c r="Y19" s="92"/>
      <x:c r="Z19" s="92" t="str">
        <x:v>Scenario only</x:v>
      </x:c>
      <x:c r="AA19" s="92"/>
      <x:c r="AB19" s="97"/>
      <x:c r="AC19" s="92"/>
      <x:c r="AD19" s="96" t="str">
        <x:f>IF(COUNTA(A19:H19,K19:N19,Q19:AC19)=0,"",IF(A19="","Missing ID",IF(COUNTIF($A$5:$A$104,A19)&gt;1,"Duplicate ID",IF(OR(C19="",D19="",E19="",F19=""),"Missing risk context",IF(OR(NOT(ISNUMBER(I19)),NOT(ISNUMBER(O19))),"Incomplete or invalid scores",IF(OR(Q19="",S19="",T19=""),"Missing treatment or owner",IF(NOT(ISNUMBER(U19)),"Missing or invalid target date",IF(U19&lt;=0,"Missing or invalid target date","OK"))))))))</x:f>
        <x:v>OK</x:v>
      </x:c>
      <x:c r="AE19" s="96" t="str">
        <x:f>IF(A19="","",IF(AND(OR(T19="Closed",T19="Accepted"),OR(AC19="",Z19&lt;&gt;"Evidence reviewed",AA19="",NOT(ISNUMBER(AB19)))),"Closure review needed",IF(OR(Y19="",Z19="",AA19="",NOT(ISNUMBER(AB19))),"Add assessment support",IF(AB19&lt;=0,"Add assessment support","Notes present"))))</x:f>
        <x:v>Add assessment support</x:v>
      </x:c>
    </x:row>
    <x:row r="20" ht="100" customHeight="1">
      <x:c r="A20" s="40" t="str">
        <x:v>R-016</x:v>
      </x:c>
      <x:c r="B20" s="40" t="str">
        <x:v>Business Continuity</x:v>
      </x:c>
      <x:c r="C20" s="40" t="str">
        <x:v>Backup repository</x:v>
      </x:c>
      <x:c r="D20" s="40" t="str">
        <x:v>Ransomware could affect production data and reachable backups, limiting the company’s ability to recover.</x:v>
      </x:c>
      <x:c r="E20" s="40" t="str">
        <x:v>Ransomware</x:v>
      </x:c>
      <x:c r="F20" s="40" t="str">
        <x:v>Backups are not sufficiently isolated or immutable</x:v>
      </x:c>
      <x:c r="G20" s="40" t="n">
        <x:v>4</x:v>
      </x:c>
      <x:c r="H20" s="40" t="n">
        <x:v>5</x:v>
      </x:c>
      <x:c r="I20" s="41" t="n">
        <x:f>IF(A20="","",IF(COUNT(G20,H20)&lt;&gt;2,"",IF(AND(G20&gt;=1,G20&lt;=5,H20&gt;=1,H20&lt;=5,MOD(G20,1)=0,MOD(H20,1)=0),G20*H20,"")))</x:f>
        <x:v>20</x:v>
      </x:c>
      <x:c r="J20" s="41" t="str">
        <x:f>IF(A20="","",IF(ISNUMBER(I20),IF(I20&gt;=16,"Critical",IF(I20&gt;=10,"High",IF(I20&gt;=5,"Medium","Low"))),"Not assessed"))</x:f>
        <x:v>Critical</x:v>
      </x:c>
      <x:c r="K20" s="40" t="str">
        <x:v>Scheduled backups</x:v>
      </x:c>
      <x:c r="L20" s="40" t="str">
        <x:v>Partially Effective</x:v>
      </x:c>
      <x:c r="M20" s="40" t="n">
        <x:v>2</x:v>
      </x:c>
      <x:c r="N20" s="40" t="n">
        <x:v>5</x:v>
      </x:c>
      <x:c r="O20" s="41" t="n">
        <x:f>IF(A20="","",IF(COUNT(M20,N20)&lt;&gt;2,"",IF(AND(M20&gt;=1,M20&lt;=5,N20&gt;=1,N20&lt;=5,MOD(M20,1)=0,MOD(N20,1)=0),M20*N20,"")))</x:f>
        <x:v>10</x:v>
      </x:c>
      <x:c r="P20" s="41" t="str">
        <x:f>IF(A20="","",IF(ISNUMBER(O20),IF(O20&gt;=16,"Critical",IF(O20&gt;=10,"High",IF(O20&gt;=5,"Medium","Low"))),"Not assessed"))</x:f>
        <x:v>High</x:v>
      </x:c>
      <x:c r="Q20" s="40" t="str">
        <x:v>Mitigate</x:v>
      </x:c>
      <x:c r="R20" s="40" t="str">
        <x:v>Maintain immutable/offline copies and test restoration on a recurring schedule.</x:v>
      </x:c>
      <x:c r="S20" s="40" t="str">
        <x:v>Operations Manager</x:v>
      </x:c>
      <x:c r="T20" s="40" t="str">
        <x:v>In Progress</x:v>
      </x:c>
      <x:c r="U20" s="42" t="n">
        <x:v>46302</x:v>
      </x:c>
      <x:c r="V20" s="40" t="str">
        <x:v>Protect / Recover</x:v>
      </x:c>
      <x:c r="W20" s="40" t="str">
        <x:v>CIS 11</x:v>
      </x:c>
      <x:c r="X20" s="40" t="str">
        <x:v>Evidence should include restore-test results.</x:v>
      </x:c>
      <x:c r="Y20" s="92"/>
      <x:c r="Z20" s="92" t="str">
        <x:v>Scenario only</x:v>
      </x:c>
      <x:c r="AA20" s="92"/>
      <x:c r="AB20" s="97"/>
      <x:c r="AC20" s="92"/>
      <x:c r="AD20" s="96" t="str">
        <x:f>IF(COUNTA(A20:H20,K20:N20,Q20:AC20)=0,"",IF(A20="","Missing ID",IF(COUNTIF($A$5:$A$104,A20)&gt;1,"Duplicate ID",IF(OR(C20="",D20="",E20="",F20=""),"Missing risk context",IF(OR(NOT(ISNUMBER(I20)),NOT(ISNUMBER(O20))),"Incomplete or invalid scores",IF(OR(Q20="",S20="",T20=""),"Missing treatment or owner",IF(NOT(ISNUMBER(U20)),"Missing or invalid target date",IF(U20&lt;=0,"Missing or invalid target date","OK"))))))))</x:f>
        <x:v>OK</x:v>
      </x:c>
      <x:c r="AE20" s="96" t="str">
        <x:f>IF(A20="","",IF(AND(OR(T20="Closed",T20="Accepted"),OR(AC20="",Z20&lt;&gt;"Evidence reviewed",AA20="",NOT(ISNUMBER(AB20)))),"Closure review needed",IF(OR(Y20="",Z20="",AA20="",NOT(ISNUMBER(AB20))),"Add assessment support",IF(AB20&lt;=0,"Add assessment support","Notes present"))))</x:f>
        <x:v>Add assessment support</x:v>
      </x:c>
    </x:row>
    <x:row r="21" ht="100" customHeight="1">
      <x:c r="A21" s="40" t="str">
        <x:v>R-017</x:v>
      </x:c>
      <x:c r="B21" s="40" t="str">
        <x:v>Business Continuity</x:v>
      </x:c>
      <x:c r="C21" s="40" t="str">
        <x:v>Production SaaS</x:v>
      </x:c>
      <x:c r="D21" s="40" t="str">
        <x:v>A cloud outage could make the customer service unavailable longer than expected.</x:v>
      </x:c>
      <x:c r="E21" s="40" t="str">
        <x:v>Cloud/service outage</x:v>
      </x:c>
      <x:c r="F21" s="40" t="str">
        <x:v>RTO/RPO and failover procedures are not formally validated</x:v>
      </x:c>
      <x:c r="G21" s="40" t="n">
        <x:v>3</x:v>
      </x:c>
      <x:c r="H21" s="40" t="n">
        <x:v>5</x:v>
      </x:c>
      <x:c r="I21" s="41" t="n">
        <x:f>IF(A21="","",IF(COUNT(G21,H21)&lt;&gt;2,"",IF(AND(G21&gt;=1,G21&lt;=5,H21&gt;=1,H21&lt;=5,MOD(G21,1)=0,MOD(H21,1)=0),G21*H21,"")))</x:f>
        <x:v>15</x:v>
      </x:c>
      <x:c r="J21" s="41" t="str">
        <x:f>IF(A21="","",IF(ISNUMBER(I21),IF(I21&gt;=16,"Critical",IF(I21&gt;=10,"High",IF(I21&gt;=5,"Medium","Low"))),"Not assessed"))</x:f>
        <x:v>High</x:v>
      </x:c>
      <x:c r="K21" s="40" t="str">
        <x:v>Provider redundancy; backups</x:v>
      </x:c>
      <x:c r="L21" s="40" t="str">
        <x:v>Partially Effective</x:v>
      </x:c>
      <x:c r="M21" s="40" t="n">
        <x:v>2</x:v>
      </x:c>
      <x:c r="N21" s="40" t="n">
        <x:v>4</x:v>
      </x:c>
      <x:c r="O21" s="41" t="n">
        <x:f>IF(A21="","",IF(COUNT(M21,N21)&lt;&gt;2,"",IF(AND(M21&gt;=1,M21&lt;=5,N21&gt;=1,N21&lt;=5,MOD(M21,1)=0,MOD(N21,1)=0),M21*N21,"")))</x:f>
        <x:v>8</x:v>
      </x:c>
      <x:c r="P21" s="41" t="str">
        <x:f>IF(A21="","",IF(ISNUMBER(O21),IF(O21&gt;=16,"Critical",IF(O21&gt;=10,"High",IF(O21&gt;=5,"Medium","Low"))),"Not assessed"))</x:f>
        <x:v>Medium</x:v>
      </x:c>
      <x:c r="Q21" s="40" t="str">
        <x:v>Mitigate</x:v>
      </x:c>
      <x:c r="R21" s="40" t="str">
        <x:v>Define business-approved RTO/RPO and test restoration/failover procedures.</x:v>
      </x:c>
      <x:c r="S21" s="40" t="str">
        <x:v>Operations Manager</x:v>
      </x:c>
      <x:c r="T21" s="40" t="str">
        <x:v>Planned</x:v>
      </x:c>
      <x:c r="U21" s="42" t="n">
        <x:v>46362</x:v>
      </x:c>
      <x:c r="V21" s="40" t="str">
        <x:v>Identify / Recover</x:v>
      </x:c>
      <x:c r="W21" s="40" t="str">
        <x:v>CIS 11</x:v>
      </x:c>
      <x:c r="X21" s="40" t="str">
        <x:v>Document critical dependencies.</x:v>
      </x:c>
      <x:c r="Y21" s="92"/>
      <x:c r="Z21" s="92" t="str">
        <x:v>Scenario only</x:v>
      </x:c>
      <x:c r="AA21" s="92"/>
      <x:c r="AB21" s="97"/>
      <x:c r="AC21" s="92"/>
      <x:c r="AD21" s="96" t="str">
        <x:f>IF(COUNTA(A21:H21,K21:N21,Q21:AC21)=0,"",IF(A21="","Missing ID",IF(COUNTIF($A$5:$A$104,A21)&gt;1,"Duplicate ID",IF(OR(C21="",D21="",E21="",F21=""),"Missing risk context",IF(OR(NOT(ISNUMBER(I21)),NOT(ISNUMBER(O21))),"Incomplete or invalid scores",IF(OR(Q21="",S21="",T21=""),"Missing treatment or owner",IF(NOT(ISNUMBER(U21)),"Missing or invalid target date",IF(U21&lt;=0,"Missing or invalid target date","OK"))))))))</x:f>
        <x:v>OK</x:v>
      </x:c>
      <x:c r="AE21" s="96" t="str">
        <x:f>IF(A21="","",IF(AND(OR(T21="Closed",T21="Accepted"),OR(AC21="",Z21&lt;&gt;"Evidence reviewed",AA21="",NOT(ISNUMBER(AB21)))),"Closure review needed",IF(OR(Y21="",Z21="",AA21="",NOT(ISNUMBER(AB21))),"Add assessment support",IF(AB21&lt;=0,"Add assessment support","Notes present"))))</x:f>
        <x:v>Add assessment support</x:v>
      </x:c>
    </x:row>
    <x:row r="22" ht="100" customHeight="1">
      <x:c r="A22" s="40" t="str">
        <x:v>R-018</x:v>
      </x:c>
      <x:c r="B22" s="40" t="str">
        <x:v>Security Awareness</x:v>
      </x:c>
      <x:c r="C22" s="40" t="str">
        <x:v>Workforce</x:v>
      </x:c>
      <x:c r="D22" s="40" t="str">
        <x:v>A phishing message could capture employee credentials and lead to account compromise.</x:v>
      </x:c>
      <x:c r="E22" s="40" t="str">
        <x:v>Phishing / social engineering</x:v>
      </x:c>
      <x:c r="F22" s="40" t="str">
        <x:v>Awareness training is annual and phishing resilience is not routinely measured</x:v>
      </x:c>
      <x:c r="G22" s="40" t="n">
        <x:v>4</x:v>
      </x:c>
      <x:c r="H22" s="40" t="n">
        <x:v>4</x:v>
      </x:c>
      <x:c r="I22" s="41" t="n">
        <x:f>IF(A22="","",IF(COUNT(G22,H22)&lt;&gt;2,"",IF(AND(G22&gt;=1,G22&lt;=5,H22&gt;=1,H22&lt;=5,MOD(G22,1)=0,MOD(H22,1)=0),G22*H22,"")))</x:f>
        <x:v>16</x:v>
      </x:c>
      <x:c r="J22" s="41" t="str">
        <x:f>IF(A22="","",IF(ISNUMBER(I22),IF(I22&gt;=16,"Critical",IF(I22&gt;=10,"High",IF(I22&gt;=5,"Medium","Low"))),"Not assessed"))</x:f>
        <x:v>Critical</x:v>
      </x:c>
      <x:c r="K22" s="40" t="str">
        <x:v>Annual training; email filtering</x:v>
      </x:c>
      <x:c r="L22" s="40" t="str">
        <x:v>Partially Effective</x:v>
      </x:c>
      <x:c r="M22" s="40" t="n">
        <x:v>3</x:v>
      </x:c>
      <x:c r="N22" s="40" t="n">
        <x:v>4</x:v>
      </x:c>
      <x:c r="O22" s="41" t="n">
        <x:f>IF(A22="","",IF(COUNT(M22,N22)&lt;&gt;2,"",IF(AND(M22&gt;=1,M22&lt;=5,N22&gt;=1,N22&lt;=5,MOD(M22,1)=0,MOD(N22,1)=0),M22*N22,"")))</x:f>
        <x:v>12</x:v>
      </x:c>
      <x:c r="P22" s="41" t="str">
        <x:f>IF(A22="","",IF(ISNUMBER(O22),IF(O22&gt;=16,"Critical",IF(O22&gt;=10,"High",IF(O22&gt;=5,"Medium","Low"))),"Not assessed"))</x:f>
        <x:v>High</x:v>
      </x:c>
      <x:c r="Q22" s="40" t="str">
        <x:v>Mitigate</x:v>
      </x:c>
      <x:c r="R22" s="40" t="str">
        <x:v>Run periodic phishing exercises and targeted role-based awareness training.</x:v>
      </x:c>
      <x:c r="S22" s="40" t="str">
        <x:v>HR Manager</x:v>
      </x:c>
      <x:c r="T22" s="40" t="str">
        <x:v>Planned</x:v>
      </x:c>
      <x:c r="U22" s="42" t="n">
        <x:v>46332</x:v>
      </x:c>
      <x:c r="V22" s="40" t="str">
        <x:v>Protect</x:v>
      </x:c>
      <x:c r="W22" s="40" t="str">
        <x:v>CIS 14</x:v>
      </x:c>
      <x:c r="X22" s="40" t="str">
        <x:v>Measure reporting behavior as well as clicks.</x:v>
      </x:c>
      <x:c r="Y22" s="92"/>
      <x:c r="Z22" s="92" t="str">
        <x:v>Scenario only</x:v>
      </x:c>
      <x:c r="AA22" s="92"/>
      <x:c r="AB22" s="97"/>
      <x:c r="AC22" s="92"/>
      <x:c r="AD22" s="96" t="str">
        <x:f>IF(COUNTA(A22:H22,K22:N22,Q22:AC22)=0,"",IF(A22="","Missing ID",IF(COUNTIF($A$5:$A$104,A22)&gt;1,"Duplicate ID",IF(OR(C22="",D22="",E22="",F22=""),"Missing risk context",IF(OR(NOT(ISNUMBER(I22)),NOT(ISNUMBER(O22))),"Incomplete or invalid scores",IF(OR(Q22="",S22="",T22=""),"Missing treatment or owner",IF(NOT(ISNUMBER(U22)),"Missing or invalid target date",IF(U22&lt;=0,"Missing or invalid target date","OK"))))))))</x:f>
        <x:v>OK</x:v>
      </x:c>
      <x:c r="AE22" s="96" t="str">
        <x:f>IF(A22="","",IF(AND(OR(T22="Closed",T22="Accepted"),OR(AC22="",Z22&lt;&gt;"Evidence reviewed",AA22="",NOT(ISNUMBER(AB22)))),"Closure review needed",IF(OR(Y22="",Z22="",AA22="",NOT(ISNUMBER(AB22))),"Add assessment support",IF(AB22&lt;=0,"Add assessment support","Notes present"))))</x:f>
        <x:v>Add assessment support</x:v>
      </x:c>
    </x:row>
    <x:row r="23" ht="100" customHeight="1">
      <x:c r="A23" s="40" t="str">
        <x:v>R-019</x:v>
      </x:c>
      <x:c r="B23" s="40" t="str">
        <x:v>Network Security</x:v>
      </x:c>
      <x:c r="C23" s="40" t="str">
        <x:v>Corporate network</x:v>
      </x:c>
      <x:c r="D23" s="40" t="str">
        <x:v>An attacker who compromises one endpoint could move laterally toward higher-value systems.</x:v>
      </x:c>
      <x:c r="E23" s="40" t="str">
        <x:v>Lateral movement</x:v>
      </x:c>
      <x:c r="F23" s="40" t="str">
        <x:v>Internal network segmentation is limited</x:v>
      </x:c>
      <x:c r="G23" s="40" t="n">
        <x:v>3</x:v>
      </x:c>
      <x:c r="H23" s="40" t="n">
        <x:v>5</x:v>
      </x:c>
      <x:c r="I23" s="41" t="n">
        <x:f>IF(A23="","",IF(COUNT(G23,H23)&lt;&gt;2,"",IF(AND(G23&gt;=1,G23&lt;=5,H23&gt;=1,H23&lt;=5,MOD(G23,1)=0,MOD(H23,1)=0),G23*H23,"")))</x:f>
        <x:v>15</x:v>
      </x:c>
      <x:c r="J23" s="41" t="str">
        <x:f>IF(A23="","",IF(ISNUMBER(I23),IF(I23&gt;=16,"Critical",IF(I23&gt;=10,"High",IF(I23&gt;=5,"Medium","Low"))),"Not assessed"))</x:f>
        <x:v>High</x:v>
      </x:c>
      <x:c r="K23" s="40" t="str">
        <x:v>Perimeter firewall; endpoint firewalls</x:v>
      </x:c>
      <x:c r="L23" s="40" t="str">
        <x:v>Partially Effective</x:v>
      </x:c>
      <x:c r="M23" s="40" t="n">
        <x:v>2</x:v>
      </x:c>
      <x:c r="N23" s="40" t="n">
        <x:v>5</x:v>
      </x:c>
      <x:c r="O23" s="41" t="n">
        <x:f>IF(A23="","",IF(COUNT(M23,N23)&lt;&gt;2,"",IF(AND(M23&gt;=1,M23&lt;=5,N23&gt;=1,N23&lt;=5,MOD(M23,1)=0,MOD(N23,1)=0),M23*N23,"")))</x:f>
        <x:v>10</x:v>
      </x:c>
      <x:c r="P23" s="41" t="str">
        <x:f>IF(A23="","",IF(ISNUMBER(O23),IF(O23&gt;=16,"Critical",IF(O23&gt;=10,"High",IF(O23&gt;=5,"Medium","Low"))),"Not assessed"))</x:f>
        <x:v>High</x:v>
      </x:c>
      <x:c r="Q23" s="40" t="str">
        <x:v>Mitigate</x:v>
      </x:c>
      <x:c r="R23" s="40" t="str">
        <x:v>Segment user, server, administrative, and security networks.</x:v>
      </x:c>
      <x:c r="S23" s="40" t="str">
        <x:v>IT Manager</x:v>
      </x:c>
      <x:c r="T23" s="40" t="str">
        <x:v>Planned</x:v>
      </x:c>
      <x:c r="U23" s="42" t="n">
        <x:v>46362</x:v>
      </x:c>
      <x:c r="V23" s="40" t="str">
        <x:v>Protect / Detect</x:v>
      </x:c>
      <x:c r="W23" s="40" t="str">
        <x:v>CIS 12, 13</x:v>
      </x:c>
      <x:c r="X23" s="40" t="str">
        <x:v>Prioritize critical systems.</x:v>
      </x:c>
      <x:c r="Y23" s="92"/>
      <x:c r="Z23" s="92" t="str">
        <x:v>Scenario only</x:v>
      </x:c>
      <x:c r="AA23" s="92"/>
      <x:c r="AB23" s="97"/>
      <x:c r="AC23" s="92"/>
      <x:c r="AD23" s="96" t="str">
        <x:f>IF(COUNTA(A23:H23,K23:N23,Q23:AC23)=0,"",IF(A23="","Missing ID",IF(COUNTIF($A$5:$A$104,A23)&gt;1,"Duplicate ID",IF(OR(C23="",D23="",E23="",F23=""),"Missing risk context",IF(OR(NOT(ISNUMBER(I23)),NOT(ISNUMBER(O23))),"Incomplete or invalid scores",IF(OR(Q23="",S23="",T23=""),"Missing treatment or owner",IF(NOT(ISNUMBER(U23)),"Missing or invalid target date",IF(U23&lt;=0,"Missing or invalid target date","OK"))))))))</x:f>
        <x:v>OK</x:v>
      </x:c>
      <x:c r="AE23" s="96" t="str">
        <x:f>IF(A23="","",IF(AND(OR(T23="Closed",T23="Accepted"),OR(AC23="",Z23&lt;&gt;"Evidence reviewed",AA23="",NOT(ISNUMBER(AB23)))),"Closure review needed",IF(OR(Y23="",Z23="",AA23="",NOT(ISNUMBER(AB23))),"Add assessment support",IF(AB23&lt;=0,"Add assessment support","Notes present"))))</x:f>
        <x:v>Add assessment support</x:v>
      </x:c>
    </x:row>
    <x:row r="24" ht="100" customHeight="1">
      <x:c r="A24" s="40" t="str">
        <x:v>R-020</x:v>
      </x:c>
      <x:c r="B24" s="40" t="str">
        <x:v>Network Security</x:v>
      </x:c>
      <x:c r="C24" s="40" t="str">
        <x:v>Corporate network</x:v>
      </x:c>
      <x:c r="D24" s="40" t="str">
        <x:v>An unmanaged device could connect to the network without being identified quickly.</x:v>
      </x:c>
      <x:c r="E24" s="40" t="str">
        <x:v>Rogue / unmanaged device</x:v>
      </x:c>
      <x:c r="F24" s="40" t="str">
        <x:v>Asset discovery and network access restrictions are incomplete</x:v>
      </x:c>
      <x:c r="G24" s="40" t="n">
        <x:v>3</x:v>
      </x:c>
      <x:c r="H24" s="40" t="n">
        <x:v>4</x:v>
      </x:c>
      <x:c r="I24" s="41" t="n">
        <x:f>IF(A24="","",IF(COUNT(G24,H24)&lt;&gt;2,"",IF(AND(G24&gt;=1,G24&lt;=5,H24&gt;=1,H24&lt;=5,MOD(G24,1)=0,MOD(H24,1)=0),G24*H24,"")))</x:f>
        <x:v>12</x:v>
      </x:c>
      <x:c r="J24" s="41" t="str">
        <x:f>IF(A24="","",IF(ISNUMBER(I24),IF(I24&gt;=16,"Critical",IF(I24&gt;=10,"High",IF(I24&gt;=5,"Medium","Low"))),"Not assessed"))</x:f>
        <x:v>High</x:v>
      </x:c>
      <x:c r="K24" s="40" t="str">
        <x:v>DHCP logs; manual inventory</x:v>
      </x:c>
      <x:c r="L24" s="40" t="str">
        <x:v>Ineffective</x:v>
      </x:c>
      <x:c r="M24" s="40" t="n">
        <x:v>2</x:v>
      </x:c>
      <x:c r="N24" s="40" t="n">
        <x:v>4</x:v>
      </x:c>
      <x:c r="O24" s="41" t="n">
        <x:f>IF(A24="","",IF(COUNT(M24,N24)&lt;&gt;2,"",IF(AND(M24&gt;=1,M24&lt;=5,N24&gt;=1,N24&lt;=5,MOD(M24,1)=0,MOD(N24,1)=0),M24*N24,"")))</x:f>
        <x:v>8</x:v>
      </x:c>
      <x:c r="P24" s="41" t="str">
        <x:f>IF(A24="","",IF(ISNUMBER(O24),IF(O24&gt;=16,"Critical",IF(O24&gt;=10,"High",IF(O24&gt;=5,"Medium","Low"))),"Not assessed"))</x:f>
        <x:v>Medium</x:v>
      </x:c>
      <x:c r="Q24" s="40" t="str">
        <x:v>Mitigate</x:v>
      </x:c>
      <x:c r="R24" s="40" t="str">
        <x:v>Automate asset discovery and create a process for investigating unknown devices.</x:v>
      </x:c>
      <x:c r="S24" s="40" t="str">
        <x:v>IT Manager</x:v>
      </x:c>
      <x:c r="T24" s="40" t="str">
        <x:v>Open</x:v>
      </x:c>
      <x:c r="U24" s="42" t="n">
        <x:v>46332</x:v>
      </x:c>
      <x:c r="V24" s="40" t="str">
        <x:v>Identify / Protect</x:v>
      </x:c>
      <x:c r="W24" s="40" t="str">
        <x:v>CIS 1, 12</x:v>
      </x:c>
      <x:c r="X24" s="40" t="str">
        <x:v>Use inventory exceptions as a review queue.</x:v>
      </x:c>
      <x:c r="Y24" s="92"/>
      <x:c r="Z24" s="92" t="str">
        <x:v>Scenario only</x:v>
      </x:c>
      <x:c r="AA24" s="92"/>
      <x:c r="AB24" s="97"/>
      <x:c r="AC24" s="92"/>
      <x:c r="AD24" s="96" t="str">
        <x:f>IF(COUNTA(A24:H24,K24:N24,Q24:AC24)=0,"",IF(A24="","Missing ID",IF(COUNTIF($A$5:$A$104,A24)&gt;1,"Duplicate ID",IF(OR(C24="",D24="",E24="",F24=""),"Missing risk context",IF(OR(NOT(ISNUMBER(I24)),NOT(ISNUMBER(O24))),"Incomplete or invalid scores",IF(OR(Q24="",S24="",T24=""),"Missing treatment or owner",IF(NOT(ISNUMBER(U24)),"Missing or invalid target date",IF(U24&lt;=0,"Missing or invalid target date","OK"))))))))</x:f>
        <x:v>OK</x:v>
      </x:c>
      <x:c r="AE24" s="96" t="str">
        <x:f>IF(A24="","",IF(AND(OR(T24="Closed",T24="Accepted"),OR(AC24="",Z24&lt;&gt;"Evidence reviewed",AA24="",NOT(ISNUMBER(AB24)))),"Closure review needed",IF(OR(Y24="",Z24="",AA24="",NOT(ISNUMBER(AB24))),"Add assessment support",IF(AB24&lt;=0,"Add assessment support","Notes present"))))</x:f>
        <x:v>Add assessment support</x:v>
      </x:c>
    </x:row>
    <x:row r="25" ht="100" customHeight="1">
      <x:c r="A25" s="40" t="str">
        <x:v>R-021</x:v>
      </x:c>
      <x:c r="B25" s="40" t="str">
        <x:v>Governance &amp; Compliance</x:v>
      </x:c>
      <x:c r="C25" s="40" t="str">
        <x:v>Security policy program</x:v>
      </x:c>
      <x:c r="D25" s="40" t="str">
        <x:v>Security practices could become inconsistent because key policies are missing or outdated.</x:v>
      </x:c>
      <x:c r="E25" s="40" t="str">
        <x:v>Governance failure</x:v>
      </x:c>
      <x:c r="F25" s="40" t="str">
        <x:v>No consistent policy lifecycle or exception process</x:v>
      </x:c>
      <x:c r="G25" s="40" t="n">
        <x:v>3</x:v>
      </x:c>
      <x:c r="H25" s="40" t="n">
        <x:v>4</x:v>
      </x:c>
      <x:c r="I25" s="41" t="n">
        <x:f>IF(A25="","",IF(COUNT(G25,H25)&lt;&gt;2,"",IF(AND(G25&gt;=1,G25&lt;=5,H25&gt;=1,H25&lt;=5,MOD(G25,1)=0,MOD(H25,1)=0),G25*H25,"")))</x:f>
        <x:v>12</x:v>
      </x:c>
      <x:c r="J25" s="41" t="str">
        <x:f>IF(A25="","",IF(ISNUMBER(I25),IF(I25&gt;=16,"Critical",IF(I25&gt;=10,"High",IF(I25&gt;=5,"Medium","Low"))),"Not assessed"))</x:f>
        <x:v>High</x:v>
      </x:c>
      <x:c r="K25" s="40" t="str">
        <x:v>Informal standards and procedures</x:v>
      </x:c>
      <x:c r="L25" s="40" t="str">
        <x:v>Ineffective</x:v>
      </x:c>
      <x:c r="M25" s="40" t="n">
        <x:v>2</x:v>
      </x:c>
      <x:c r="N25" s="40" t="n">
        <x:v>3</x:v>
      </x:c>
      <x:c r="O25" s="41" t="n">
        <x:f>IF(A25="","",IF(COUNT(M25,N25)&lt;&gt;2,"",IF(AND(M25&gt;=1,M25&lt;=5,N25&gt;=1,N25&lt;=5,MOD(M25,1)=0,MOD(N25,1)=0),M25*N25,"")))</x:f>
        <x:v>6</x:v>
      </x:c>
      <x:c r="P25" s="41" t="str">
        <x:f>IF(A25="","",IF(ISNUMBER(O25),IF(O25&gt;=16,"Critical",IF(O25&gt;=10,"High",IF(O25&gt;=5,"Medium","Low"))),"Not assessed"))</x:f>
        <x:v>Medium</x:v>
      </x:c>
      <x:c r="Q25" s="40" t="str">
        <x:v>Mitigate</x:v>
      </x:c>
      <x:c r="R25" s="40" t="str">
        <x:v>Publish priority security policies and assign owners/review dates.</x:v>
      </x:c>
      <x:c r="S25" s="40" t="str">
        <x:v>Compliance Manager</x:v>
      </x:c>
      <x:c r="T25" s="40" t="str">
        <x:v>Open</x:v>
      </x:c>
      <x:c r="U25" s="42" t="n">
        <x:v>46332</x:v>
      </x:c>
      <x:c r="V25" s="40" t="str">
        <x:v>Govern</x:v>
      </x:c>
      <x:c r="W25" s="40" t="str">
        <x:v>CIS 17; policy references</x:v>
      </x:c>
      <x:c r="X25" s="40" t="str">
        <x:v>Prioritize access control, incident response, backup, vendor risk, and exceptions.</x:v>
      </x:c>
      <x:c r="Y25" s="92"/>
      <x:c r="Z25" s="92" t="str">
        <x:v>Scenario only</x:v>
      </x:c>
      <x:c r="AA25" s="92"/>
      <x:c r="AB25" s="97"/>
      <x:c r="AC25" s="92"/>
      <x:c r="AD25" s="96" t="str">
        <x:f>IF(COUNTA(A25:H25,K25:N25,Q25:AC25)=0,"",IF(A25="","Missing ID",IF(COUNTIF($A$5:$A$104,A25)&gt;1,"Duplicate ID",IF(OR(C25="",D25="",E25="",F25=""),"Missing risk context",IF(OR(NOT(ISNUMBER(I25)),NOT(ISNUMBER(O25))),"Incomplete or invalid scores",IF(OR(Q25="",S25="",T25=""),"Missing treatment or owner",IF(NOT(ISNUMBER(U25)),"Missing or invalid target date",IF(U25&lt;=0,"Missing or invalid target date","OK"))))))))</x:f>
        <x:v>OK</x:v>
      </x:c>
      <x:c r="AE25" s="96" t="str">
        <x:f>IF(A25="","",IF(AND(OR(T25="Closed",T25="Accepted"),OR(AC25="",Z25&lt;&gt;"Evidence reviewed",AA25="",NOT(ISNUMBER(AB25)))),"Closure review needed",IF(OR(Y25="",Z25="",AA25="",NOT(ISNUMBER(AB25))),"Add assessment support",IF(AB25&lt;=0,"Add assessment support","Notes present"))))</x:f>
        <x:v>Add assessment support</x:v>
      </x:c>
    </x:row>
    <x:row r="26" ht="100" customHeight="1">
      <x:c r="A26" s="40" t="str">
        <x:v>R-022</x:v>
      </x:c>
      <x:c r="B26" s="40" t="str">
        <x:v>Governance &amp; Compliance</x:v>
      </x:c>
      <x:c r="C26" s="40" t="str">
        <x:v>Cyber risk management</x:v>
      </x:c>
      <x:c r="D26" s="40" t="str">
        <x:v>Leadership may not have a consistent view of cyber exposure if risk reviews and reporting are ad hoc.</x:v>
      </x:c>
      <x:c r="E26" s="40" t="str">
        <x:v>Poor risk visibility</x:v>
      </x:c>
      <x:c r="F26" s="40" t="str">
        <x:v>No formal cyber-risk review cadence or appetite statement</x:v>
      </x:c>
      <x:c r="G26" s="40" t="n">
        <x:v>3</x:v>
      </x:c>
      <x:c r="H26" s="40" t="n">
        <x:v>4</x:v>
      </x:c>
      <x:c r="I26" s="41" t="n">
        <x:f>IF(A26="","",IF(COUNT(G26,H26)&lt;&gt;2,"",IF(AND(G26&gt;=1,G26&lt;=5,H26&gt;=1,H26&lt;=5,MOD(G26,1)=0,MOD(H26,1)=0),G26*H26,"")))</x:f>
        <x:v>12</x:v>
      </x:c>
      <x:c r="J26" s="41" t="str">
        <x:f>IF(A26="","",IF(ISNUMBER(I26),IF(I26&gt;=16,"Critical",IF(I26&gt;=10,"High",IF(I26&gt;=5,"Medium","Low"))),"Not assessed"))</x:f>
        <x:v>High</x:v>
      </x:c>
      <x:c r="K26" s="40" t="str">
        <x:v>Ad hoc security meetings</x:v>
      </x:c>
      <x:c r="L26" s="40" t="str">
        <x:v>Ineffective</x:v>
      </x:c>
      <x:c r="M26" s="40" t="n">
        <x:v>2</x:v>
      </x:c>
      <x:c r="N26" s="40" t="n">
        <x:v>3</x:v>
      </x:c>
      <x:c r="O26" s="41" t="n">
        <x:f>IF(A26="","",IF(COUNT(M26,N26)&lt;&gt;2,"",IF(AND(M26&gt;=1,M26&lt;=5,N26&gt;=1,N26&lt;=5,MOD(M26,1)=0,MOD(N26,1)=0),M26*N26,"")))</x:f>
        <x:v>6</x:v>
      </x:c>
      <x:c r="P26" s="41" t="str">
        <x:f>IF(A26="","",IF(ISNUMBER(O26),IF(O26&gt;=16,"Critical",IF(O26&gt;=10,"High",IF(O26&gt;=5,"Medium","Low"))),"Not assessed"))</x:f>
        <x:v>Medium</x:v>
      </x:c>
      <x:c r="Q26" s="40" t="str">
        <x:v>Mitigate</x:v>
      </x:c>
      <x:c r="R26" s="40" t="str">
        <x:v>Establish quarterly risk reviews and document risk appetite/tolerance.</x:v>
      </x:c>
      <x:c r="S26" s="40" t="str">
        <x:v>CISO</x:v>
      </x:c>
      <x:c r="T26" s="40" t="str">
        <x:v>Open</x:v>
      </x:c>
      <x:c r="U26" s="42" t="n">
        <x:v>46317</x:v>
      </x:c>
      <x:c r="V26" s="40" t="str">
        <x:v>Govern</x:v>
      </x:c>
      <x:c r="W26" s="40" t="str">
        <x:v>CIS 17; governance context</x:v>
      </x:c>
      <x:c r="X26" s="40" t="str">
        <x:v>Use the risk register as the recurring review artifact.</x:v>
      </x:c>
      <x:c r="Y26" s="92"/>
      <x:c r="Z26" s="92" t="str">
        <x:v>Scenario only</x:v>
      </x:c>
      <x:c r="AA26" s="92"/>
      <x:c r="AB26" s="97"/>
      <x:c r="AC26" s="92"/>
      <x:c r="AD26" s="96" t="str">
        <x:f>IF(COUNTA(A26:H26,K26:N26,Q26:AC26)=0,"",IF(A26="","Missing ID",IF(COUNTIF($A$5:$A$104,A26)&gt;1,"Duplicate ID",IF(OR(C26="",D26="",E26="",F26=""),"Missing risk context",IF(OR(NOT(ISNUMBER(I26)),NOT(ISNUMBER(O26))),"Incomplete or invalid scores",IF(OR(Q26="",S26="",T26=""),"Missing treatment or owner",IF(NOT(ISNUMBER(U26)),"Missing or invalid target date",IF(U26&lt;=0,"Missing or invalid target date","OK"))))))))</x:f>
        <x:v>OK</x:v>
      </x:c>
      <x:c r="AE26" s="96" t="str">
        <x:f>IF(A26="","",IF(AND(OR(T26="Closed",T26="Accepted"),OR(AC26="",Z26&lt;&gt;"Evidence reviewed",AA26="",NOT(ISNUMBER(AB26)))),"Closure review needed",IF(OR(Y26="",Z26="",AA26="",NOT(ISNUMBER(AB26))),"Add assessment support",IF(AB26&lt;=0,"Add assessment support","Notes present"))))</x:f>
        <x:v>Add assessment support</x:v>
      </x:c>
    </x:row>
    <x:row r="27" ht="100" customHeight="1">
      <x:c r="A27" s="40" t="str">
        <x:v>R-023</x:v>
      </x:c>
      <x:c r="B27" s="40" t="str">
        <x:v>Application Security</x:v>
      </x:c>
      <x:c r="C27" s="40" t="str">
        <x:v>Source code repository</x:v>
      </x:c>
      <x:c r="D27" s="40" t="str">
        <x:v>An exposed API key or token in source code could allow unauthorized access to cloud or application resources.</x:v>
      </x:c>
      <x:c r="E27" s="40" t="str">
        <x:v>Secret leakage</x:v>
      </x:c>
      <x:c r="F27" s="40" t="str">
        <x:v>Secrets can be committed to repositories without automated detection</x:v>
      </x:c>
      <x:c r="G27" s="40" t="n">
        <x:v>4</x:v>
      </x:c>
      <x:c r="H27" s="40" t="n">
        <x:v>5</x:v>
      </x:c>
      <x:c r="I27" s="41" t="n">
        <x:f>IF(A27="","",IF(COUNT(G27,H27)&lt;&gt;2,"",IF(AND(G27&gt;=1,G27&lt;=5,H27&gt;=1,H27&lt;=5,MOD(G27,1)=0,MOD(H27,1)=0),G27*H27,"")))</x:f>
        <x:v>20</x:v>
      </x:c>
      <x:c r="J27" s="41" t="str">
        <x:f>IF(A27="","",IF(ISNUMBER(I27),IF(I27&gt;=16,"Critical",IF(I27&gt;=10,"High",IF(I27&gt;=5,"Medium","Low"))),"Not assessed"))</x:f>
        <x:v>Critical</x:v>
      </x:c>
      <x:c r="K27" s="40" t="str">
        <x:v>Repository permissions; manual code review</x:v>
      </x:c>
      <x:c r="L27" s="40" t="str">
        <x:v>Partially Effective</x:v>
      </x:c>
      <x:c r="M27" s="40" t="n">
        <x:v>2</x:v>
      </x:c>
      <x:c r="N27" s="40" t="n">
        <x:v>5</x:v>
      </x:c>
      <x:c r="O27" s="41" t="n">
        <x:f>IF(A27="","",IF(COUNT(M27,N27)&lt;&gt;2,"",IF(AND(M27&gt;=1,M27&lt;=5,N27&gt;=1,N27&lt;=5,MOD(M27,1)=0,MOD(N27,1)=0),M27*N27,"")))</x:f>
        <x:v>10</x:v>
      </x:c>
      <x:c r="P27" s="41" t="str">
        <x:f>IF(A27="","",IF(ISNUMBER(O27),IF(O27&gt;=16,"Critical",IF(O27&gt;=10,"High",IF(O27&gt;=5,"Medium","Low"))),"Not assessed"))</x:f>
        <x:v>High</x:v>
      </x:c>
      <x:c r="Q27" s="40" t="str">
        <x:v>Mitigate</x:v>
      </x:c>
      <x:c r="R27" s="40" t="str">
        <x:v>Enable secret scanning, use a secrets manager, and rotate exposed credentials.</x:v>
      </x:c>
      <x:c r="S27" s="40" t="str">
        <x:v>Application Owner</x:v>
      </x:c>
      <x:c r="T27" s="40" t="str">
        <x:v>In Progress</x:v>
      </x:c>
      <x:c r="U27" s="42" t="n">
        <x:v>46293</x:v>
      </x:c>
      <x:c r="V27" s="40" t="str">
        <x:v>Protect / Detect</x:v>
      </x:c>
      <x:c r="W27" s="40" t="str">
        <x:v>CIS 3, 6, 16</x:v>
      </x:c>
      <x:c r="X27" s="40" t="str">
        <x:v>Treat verified exposed production secrets as urgent.</x:v>
      </x:c>
      <x:c r="Y27" s="92"/>
      <x:c r="Z27" s="92" t="str">
        <x:v>Scenario only</x:v>
      </x:c>
      <x:c r="AA27" s="92"/>
      <x:c r="AB27" s="97"/>
      <x:c r="AC27" s="92"/>
      <x:c r="AD27" s="96" t="str">
        <x:f>IF(COUNTA(A27:H27,K27:N27,Q27:AC27)=0,"",IF(A27="","Missing ID",IF(COUNTIF($A$5:$A$104,A27)&gt;1,"Duplicate ID",IF(OR(C27="",D27="",E27="",F27=""),"Missing risk context",IF(OR(NOT(ISNUMBER(I27)),NOT(ISNUMBER(O27))),"Incomplete or invalid scores",IF(OR(Q27="",S27="",T27=""),"Missing treatment or owner",IF(NOT(ISNUMBER(U27)),"Missing or invalid target date",IF(U27&lt;=0,"Missing or invalid target date","OK"))))))))</x:f>
        <x:v>OK</x:v>
      </x:c>
      <x:c r="AE27" s="96" t="str">
        <x:f>IF(A27="","",IF(AND(OR(T27="Closed",T27="Accepted"),OR(AC27="",Z27&lt;&gt;"Evidence reviewed",AA27="",NOT(ISNUMBER(AB27)))),"Closure review needed",IF(OR(Y27="",Z27="",AA27="",NOT(ISNUMBER(AB27))),"Add assessment support",IF(AB27&lt;=0,"Add assessment support","Notes present"))))</x:f>
        <x:v>Add assessment support</x:v>
      </x:c>
    </x:row>
    <x:row r="28" ht="100" customHeight="1">
      <x:c r="A28" s="40" t="str">
        <x:v>R-024</x:v>
      </x:c>
      <x:c r="B28" s="40" t="str">
        <x:v>Data Protection</x:v>
      </x:c>
      <x:c r="C28" s="40" t="str">
        <x:v>Backup repository</x:v>
      </x:c>
      <x:c r="D28" s="40" t="str">
        <x:v>Sensitive backup data could be exposed if backup administration is broader than production access.</x:v>
      </x:c>
      <x:c r="E28" s="40" t="str">
        <x:v>Unauthorized access</x:v>
      </x:c>
      <x:c r="F28" s="40" t="str">
        <x:v>Backup roles are not tightly separated from production administration</x:v>
      </x:c>
      <x:c r="G28" s="40" t="n">
        <x:v>3</x:v>
      </x:c>
      <x:c r="H28" s="40" t="n">
        <x:v>5</x:v>
      </x:c>
      <x:c r="I28" s="41" t="n">
        <x:f>IF(A28="","",IF(COUNT(G28,H28)&lt;&gt;2,"",IF(AND(G28&gt;=1,G28&lt;=5,H28&gt;=1,H28&lt;=5,MOD(G28,1)=0,MOD(H28,1)=0),G28*H28,"")))</x:f>
        <x:v>15</x:v>
      </x:c>
      <x:c r="J28" s="41" t="str">
        <x:f>IF(A28="","",IF(ISNUMBER(I28),IF(I28&gt;=16,"Critical",IF(I28&gt;=10,"High",IF(I28&gt;=5,"Medium","Low"))),"Not assessed"))</x:f>
        <x:v>High</x:v>
      </x:c>
      <x:c r="K28" s="40" t="str">
        <x:v>Backup authentication</x:v>
      </x:c>
      <x:c r="L28" s="40" t="str">
        <x:v>Ineffective</x:v>
      </x:c>
      <x:c r="M28" s="40" t="n">
        <x:v>2</x:v>
      </x:c>
      <x:c r="N28" s="40" t="n">
        <x:v>4</x:v>
      </x:c>
      <x:c r="O28" s="41" t="n">
        <x:f>IF(A28="","",IF(COUNT(M28,N28)&lt;&gt;2,"",IF(AND(M28&gt;=1,M28&lt;=5,N28&gt;=1,N28&lt;=5,MOD(M28,1)=0,MOD(N28,1)=0),M28*N28,"")))</x:f>
        <x:v>8</x:v>
      </x:c>
      <x:c r="P28" s="41" t="str">
        <x:f>IF(A28="","",IF(ISNUMBER(O28),IF(O28&gt;=16,"Critical",IF(O28&gt;=10,"High",IF(O28&gt;=5,"Medium","Low"))),"Not assessed"))</x:f>
        <x:v>Medium</x:v>
      </x:c>
      <x:c r="Q28" s="40" t="str">
        <x:v>Mitigate</x:v>
      </x:c>
      <x:c r="R28" s="40" t="str">
        <x:v>Restrict backup admin privileges and encrypt backup data.</x:v>
      </x:c>
      <x:c r="S28" s="40" t="str">
        <x:v>Operations Manager</x:v>
      </x:c>
      <x:c r="T28" s="40" t="str">
        <x:v>Planned</x:v>
      </x:c>
      <x:c r="U28" s="42" t="n">
        <x:v>46317</x:v>
      </x:c>
      <x:c r="V28" s="40" t="str">
        <x:v>Protect</x:v>
      </x:c>
      <x:c r="W28" s="40" t="str">
        <x:v>CIS 3, 11</x:v>
      </x:c>
      <x:c r="X28" s="40" t="str">
        <x:v>Review backup operator permissions.</x:v>
      </x:c>
      <x:c r="Y28" s="92"/>
      <x:c r="Z28" s="92" t="str">
        <x:v>Scenario only</x:v>
      </x:c>
      <x:c r="AA28" s="92"/>
      <x:c r="AB28" s="97"/>
      <x:c r="AC28" s="92"/>
      <x:c r="AD28" s="96" t="str">
        <x:f>IF(COUNTA(A28:H28,K28:N28,Q28:AC28)=0,"",IF(A28="","Missing ID",IF(COUNTIF($A$5:$A$104,A28)&gt;1,"Duplicate ID",IF(OR(C28="",D28="",E28="",F28=""),"Missing risk context",IF(OR(NOT(ISNUMBER(I28)),NOT(ISNUMBER(O28))),"Incomplete or invalid scores",IF(OR(Q28="",S28="",T28=""),"Missing treatment or owner",IF(NOT(ISNUMBER(U28)),"Missing or invalid target date",IF(U28&lt;=0,"Missing or invalid target date","OK"))))))))</x:f>
        <x:v>OK</x:v>
      </x:c>
      <x:c r="AE28" s="96" t="str">
        <x:f>IF(A28="","",IF(AND(OR(T28="Closed",T28="Accepted"),OR(AC28="",Z28&lt;&gt;"Evidence reviewed",AA28="",NOT(ISNUMBER(AB28)))),"Closure review needed",IF(OR(Y28="",Z28="",AA28="",NOT(ISNUMBER(AB28))),"Add assessment support",IF(AB28&lt;=0,"Add assessment support","Notes present"))))</x:f>
        <x:v>Add assessment support</x:v>
      </x:c>
    </x:row>
    <x:row r="29" ht="100" customHeight="1">
      <x:c r="A29" s="40" t="str">
        <x:v>R-025</x:v>
      </x:c>
      <x:c r="B29" s="40" t="str">
        <x:v>Vulnerability Management</x:v>
      </x:c>
      <x:c r="C29" s="40" t="str">
        <x:v>Employee endpoints</x:v>
      </x:c>
      <x:c r="D29" s="40" t="str">
        <x:v>Unsupported software could remain installed and create vulnerabilities that cannot be reliably patched.</x:v>
      </x:c>
      <x:c r="E29" s="40" t="str">
        <x:v>Exploitation of unsupported software</x:v>
      </x:c>
      <x:c r="F29" s="40" t="str">
        <x:v>Software lifecycle and EOL tracking are incomplete</x:v>
      </x:c>
      <x:c r="G29" s="40" t="n">
        <x:v>3</x:v>
      </x:c>
      <x:c r="H29" s="40" t="n">
        <x:v>4</x:v>
      </x:c>
      <x:c r="I29" s="41" t="n">
        <x:f>IF(A29="","",IF(COUNT(G29,H29)&lt;&gt;2,"",IF(AND(G29&gt;=1,G29&lt;=5,H29&gt;=1,H29&lt;=5,MOD(G29,1)=0,MOD(H29,1)=0),G29*H29,"")))</x:f>
        <x:v>12</x:v>
      </x:c>
      <x:c r="J29" s="41" t="str">
        <x:f>IF(A29="","",IF(ISNUMBER(I29),IF(I29&gt;=16,"Critical",IF(I29&gt;=10,"High",IF(I29&gt;=5,"Medium","Low"))),"Not assessed"))</x:f>
        <x:v>High</x:v>
      </x:c>
      <x:c r="K29" s="40" t="str">
        <x:v>Endpoint management; ad hoc inventory</x:v>
      </x:c>
      <x:c r="L29" s="40" t="str">
        <x:v>Partially Effective</x:v>
      </x:c>
      <x:c r="M29" s="40" t="n">
        <x:v>2</x:v>
      </x:c>
      <x:c r="N29" s="40" t="n">
        <x:v>3</x:v>
      </x:c>
      <x:c r="O29" s="41" t="n">
        <x:f>IF(A29="","",IF(COUNT(M29,N29)&lt;&gt;2,"",IF(AND(M29&gt;=1,M29&lt;=5,N29&gt;=1,N29&lt;=5,MOD(M29,1)=0,MOD(N29,1)=0),M29*N29,"")))</x:f>
        <x:v>6</x:v>
      </x:c>
      <x:c r="P29" s="41" t="str">
        <x:f>IF(A29="","",IF(ISNUMBER(O29),IF(O29&gt;=16,"Critical",IF(O29&gt;=10,"High",IF(O29&gt;=5,"Medium","Low"))),"Not assessed"))</x:f>
        <x:v>Medium</x:v>
      </x:c>
      <x:c r="Q29" s="40" t="str">
        <x:v>Mitigate</x:v>
      </x:c>
      <x:c r="R29" s="40" t="str">
        <x:v>Track installed software and remove or upgrade end-of-life products.</x:v>
      </x:c>
      <x:c r="S29" s="40" t="str">
        <x:v>IT Manager</x:v>
      </x:c>
      <x:c r="T29" s="40" t="str">
        <x:v>Planned</x:v>
      </x:c>
      <x:c r="U29" s="42" t="n">
        <x:v>46347</x:v>
      </x:c>
      <x:c r="V29" s="40" t="str">
        <x:v>Identify / Protect</x:v>
      </x:c>
      <x:c r="W29" s="40" t="str">
        <x:v>CIS 2, 7</x:v>
      </x:c>
      <x:c r="X29" s="40" t="str">
        <x:v>Document approved exceptions.</x:v>
      </x:c>
      <x:c r="Y29" s="92"/>
      <x:c r="Z29" s="92" t="str">
        <x:v>Scenario only</x:v>
      </x:c>
      <x:c r="AA29" s="92"/>
      <x:c r="AB29" s="97"/>
      <x:c r="AC29" s="92"/>
      <x:c r="AD29" s="96" t="str">
        <x:f>IF(COUNTA(A29:H29,K29:N29,Q29:AC29)=0,"",IF(A29="","Missing ID",IF(COUNTIF($A$5:$A$104,A29)&gt;1,"Duplicate ID",IF(OR(C29="",D29="",E29="",F29=""),"Missing risk context",IF(OR(NOT(ISNUMBER(I29)),NOT(ISNUMBER(O29))),"Incomplete or invalid scores",IF(OR(Q29="",S29="",T29=""),"Missing treatment or owner",IF(NOT(ISNUMBER(U29)),"Missing or invalid target date",IF(U29&lt;=0,"Missing or invalid target date","OK"))))))))</x:f>
        <x:v>OK</x:v>
      </x:c>
      <x:c r="AE29" s="96" t="str">
        <x:f>IF(A29="","",IF(AND(OR(T29="Closed",T29="Accepted"),OR(AC29="",Z29&lt;&gt;"Evidence reviewed",AA29="",NOT(ISNUMBER(AB29)))),"Closure review needed",IF(OR(Y29="",Z29="",AA29="",NOT(ISNUMBER(AB29))),"Add assessment support",IF(AB29&lt;=0,"Add assessment support","Notes present"))))</x:f>
        <x:v>Add assessment support</x:v>
      </x:c>
    </x:row>
    <x:row r="30" ht="100" customHeight="1">
      <x:c r="A30" s="40" t="str">
        <x:v>R-026</x:v>
      </x:c>
      <x:c r="B30" s="40" t="str">
        <x:v>Incident Response</x:v>
      </x:c>
      <x:c r="C30" s="40" t="str">
        <x:v>Audit logs</x:v>
      </x:c>
      <x:c r="D30" s="40" t="str">
        <x:v>An attacker could delete local logs and reduce the evidence available for investigation.</x:v>
      </x:c>
      <x:c r="E30" s="40" t="str">
        <x:v>Defense evasion</x:v>
      </x:c>
      <x:c r="F30" s="40" t="str">
        <x:v>Important logs depend on local storage</x:v>
      </x:c>
      <x:c r="G30" s="40" t="n">
        <x:v>3</x:v>
      </x:c>
      <x:c r="H30" s="40" t="n">
        <x:v>4</x:v>
      </x:c>
      <x:c r="I30" s="41" t="n">
        <x:f>IF(A30="","",IF(COUNT(G30,H30)&lt;&gt;2,"",IF(AND(G30&gt;=1,G30&lt;=5,H30&gt;=1,H30&lt;=5,MOD(G30,1)=0,MOD(H30,1)=0),G30*H30,"")))</x:f>
        <x:v>12</x:v>
      </x:c>
      <x:c r="J30" s="41" t="str">
        <x:f>IF(A30="","",IF(ISNUMBER(I30),IF(I30&gt;=16,"Critical",IF(I30&gt;=10,"High",IF(I30&gt;=5,"Medium","Low"))),"Not assessed"))</x:f>
        <x:v>High</x:v>
      </x:c>
      <x:c r="K30" s="40" t="str">
        <x:v>Native local logging</x:v>
      </x:c>
      <x:c r="L30" s="40" t="str">
        <x:v>Ineffective</x:v>
      </x:c>
      <x:c r="M30" s="40" t="n">
        <x:v>2</x:v>
      </x:c>
      <x:c r="N30" s="40" t="n">
        <x:v>4</x:v>
      </x:c>
      <x:c r="O30" s="41" t="n">
        <x:f>IF(A30="","",IF(COUNT(M30,N30)&lt;&gt;2,"",IF(AND(M30&gt;=1,M30&lt;=5,N30&gt;=1,N30&lt;=5,MOD(M30,1)=0,MOD(N30,1)=0),M30*N30,"")))</x:f>
        <x:v>8</x:v>
      </x:c>
      <x:c r="P30" s="41" t="str">
        <x:f>IF(A30="","",IF(ISNUMBER(O30),IF(O30&gt;=16,"Critical",IF(O30&gt;=10,"High",IF(O30&gt;=5,"Medium","Low"))),"Not assessed"))</x:f>
        <x:v>Medium</x:v>
      </x:c>
      <x:c r="Q30" s="40" t="str">
        <x:v>Mitigate</x:v>
      </x:c>
      <x:c r="R30" s="40" t="str">
        <x:v>Forward critical logs to protected centralized storage and restrict log administration.</x:v>
      </x:c>
      <x:c r="S30" s="40" t="str">
        <x:v>Security Manager</x:v>
      </x:c>
      <x:c r="T30" s="40" t="str">
        <x:v>Planned</x:v>
      </x:c>
      <x:c r="U30" s="42" t="n">
        <x:v>46332</x:v>
      </x:c>
      <x:c r="V30" s="40" t="str">
        <x:v>Detect</x:v>
      </x:c>
      <x:c r="W30" s="40" t="str">
        <x:v>CIS 8</x:v>
      </x:c>
      <x:c r="X30" s="40" t="str">
        <x:v>Define retention based on business and investigation needs.</x:v>
      </x:c>
      <x:c r="Y30" s="92"/>
      <x:c r="Z30" s="92" t="str">
        <x:v>Scenario only</x:v>
      </x:c>
      <x:c r="AA30" s="92"/>
      <x:c r="AB30" s="97"/>
      <x:c r="AC30" s="92"/>
      <x:c r="AD30" s="96" t="str">
        <x:f>IF(COUNTA(A30:H30,K30:N30,Q30:AC30)=0,"",IF(A30="","Missing ID",IF(COUNTIF($A$5:$A$104,A30)&gt;1,"Duplicate ID",IF(OR(C30="",D30="",E30="",F30=""),"Missing risk context",IF(OR(NOT(ISNUMBER(I30)),NOT(ISNUMBER(O30))),"Incomplete or invalid scores",IF(OR(Q30="",S30="",T30=""),"Missing treatment or owner",IF(NOT(ISNUMBER(U30)),"Missing or invalid target date",IF(U30&lt;=0,"Missing or invalid target date","OK"))))))))</x:f>
        <x:v>OK</x:v>
      </x:c>
      <x:c r="AE30" s="96" t="str">
        <x:f>IF(A30="","",IF(AND(OR(T30="Closed",T30="Accepted"),OR(AC30="",Z30&lt;&gt;"Evidence reviewed",AA30="",NOT(ISNUMBER(AB30)))),"Closure review needed",IF(OR(Y30="",Z30="",AA30="",NOT(ISNUMBER(AB30))),"Add assessment support",IF(AB30&lt;=0,"Add assessment support","Notes present"))))</x:f>
        <x:v>Add assessment support</x:v>
      </x:c>
    </x:row>
    <x:row r="31" ht="100" customHeight="1">
      <x:c r="A31" s="40" t="str">
        <x:v>R-027</x:v>
      </x:c>
      <x:c r="B31" s="40" t="str">
        <x:v>Identity &amp; Access</x:v>
      </x:c>
      <x:c r="C31" s="40" t="str">
        <x:v>Business applications</x:v>
      </x:c>
      <x:c r="D31" s="40" t="str">
        <x:v>Password reuse on applications outside SSO could increase account-compromise risk.</x:v>
      </x:c>
      <x:c r="E31" s="40" t="str">
        <x:v>Credential stuffing</x:v>
      </x:c>
      <x:c r="F31" s="40" t="str">
        <x:v>Authentication standards are inconsistent across smaller SaaS services</x:v>
      </x:c>
      <x:c r="G31" s="40" t="n">
        <x:v>3</x:v>
      </x:c>
      <x:c r="H31" s="40" t="n">
        <x:v>4</x:v>
      </x:c>
      <x:c r="I31" s="41" t="n">
        <x:f>IF(A31="","",IF(COUNT(G31,H31)&lt;&gt;2,"",IF(AND(G31&gt;=1,G31&lt;=5,H31&gt;=1,H31&lt;=5,MOD(G31,1)=0,MOD(H31,1)=0),G31*H31,"")))</x:f>
        <x:v>12</x:v>
      </x:c>
      <x:c r="J31" s="41" t="str">
        <x:f>IF(A31="","",IF(ISNUMBER(I31),IF(I31&gt;=16,"Critical",IF(I31&gt;=10,"High",IF(I31&gt;=5,"Medium","Low"))),"Not assessed"))</x:f>
        <x:v>High</x:v>
      </x:c>
      <x:c r="K31" s="40" t="str">
        <x:v>Primary identity password policy</x:v>
      </x:c>
      <x:c r="L31" s="40" t="str">
        <x:v>Partially Effective</x:v>
      </x:c>
      <x:c r="M31" s="40" t="n">
        <x:v>2</x:v>
      </x:c>
      <x:c r="N31" s="40" t="n">
        <x:v>3</x:v>
      </x:c>
      <x:c r="O31" s="41" t="n">
        <x:f>IF(A31="","",IF(COUNT(M31,N31)&lt;&gt;2,"",IF(AND(M31&gt;=1,M31&lt;=5,N31&gt;=1,N31&lt;=5,MOD(M31,1)=0,MOD(N31,1)=0),M31*N31,"")))</x:f>
        <x:v>6</x:v>
      </x:c>
      <x:c r="P31" s="41" t="str">
        <x:f>IF(A31="","",IF(ISNUMBER(O31),IF(O31&gt;=16,"Critical",IF(O31&gt;=10,"High",IF(O31&gt;=5,"Medium","Low"))),"Not assessed"))</x:f>
        <x:v>Medium</x:v>
      </x:c>
      <x:c r="Q31" s="40" t="str">
        <x:v>Mitigate</x:v>
      </x:c>
      <x:c r="R31" s="40" t="str">
        <x:v>Expand SSO/MFA coverage and provide an approved password manager.</x:v>
      </x:c>
      <x:c r="S31" s="40" t="str">
        <x:v>IT Manager</x:v>
      </x:c>
      <x:c r="T31" s="40" t="str">
        <x:v>Accepted</x:v>
      </x:c>
      <x:c r="U31" s="42" t="n">
        <x:v>46452</x:v>
      </x:c>
      <x:c r="V31" s="40" t="str">
        <x:v>Protect</x:v>
      </x:c>
      <x:c r="W31" s="40" t="str">
        <x:v>CIS 5, 6, 14</x:v>
      </x:c>
      <x:c r="X31" s="40" t="str">
        <x:v>Simulated acceptance: lower-risk apps scheduled for later SSO migration.</x:v>
      </x:c>
      <x:c r="Y31" s="92"/>
      <x:c r="Z31" s="92" t="str">
        <x:v>Scenario only</x:v>
      </x:c>
      <x:c r="AA31" s="92"/>
      <x:c r="AB31" s="97"/>
      <x:c r="AC31" s="92"/>
      <x:c r="AD31" s="96" t="str">
        <x:f>IF(COUNTA(A31:H31,K31:N31,Q31:AC31)=0,"",IF(A31="","Missing ID",IF(COUNTIF($A$5:$A$104,A31)&gt;1,"Duplicate ID",IF(OR(C31="",D31="",E31="",F31=""),"Missing risk context",IF(OR(NOT(ISNUMBER(I31)),NOT(ISNUMBER(O31))),"Incomplete or invalid scores",IF(OR(Q31="",S31="",T31=""),"Missing treatment or owner",IF(NOT(ISNUMBER(U31)),"Missing or invalid target date",IF(U31&lt;=0,"Missing or invalid target date","OK"))))))))</x:f>
        <x:v>OK</x:v>
      </x:c>
      <x:c r="AE31" s="96" t="str">
        <x:f>IF(A31="","",IF(AND(OR(T31="Closed",T31="Accepted"),OR(AC31="",Z31&lt;&gt;"Evidence reviewed",AA31="",NOT(ISNUMBER(AB31)))),"Closure review needed",IF(OR(Y31="",Z31="",AA31="",NOT(ISNUMBER(AB31))),"Add assessment support",IF(AB31&lt;=0,"Add assessment support","Notes present"))))</x:f>
        <x:v>Closure review needed</x:v>
      </x:c>
    </x:row>
    <x:row r="32" ht="100" customHeight="1">
      <x:c r="A32" s="40" t="str">
        <x:v>R-028</x:v>
      </x:c>
      <x:c r="B32" s="40" t="str">
        <x:v>Third-Party Risk</x:v>
      </x:c>
      <x:c r="C32" s="40" t="str">
        <x:v>Production suppliers</x:v>
      </x:c>
      <x:c r="D32" s="40" t="str">
        <x:v>A supplier compromise could introduce malicious software or unauthorized privileged access into production.</x:v>
      </x:c>
      <x:c r="E32" s="40" t="str">
        <x:v>Supply-chain attack</x:v>
      </x:c>
      <x:c r="F32" s="40" t="str">
        <x:v>Supplier access and software provenance controls are incomplete</x:v>
      </x:c>
      <x:c r="G32" s="40" t="n">
        <x:v>3</x:v>
      </x:c>
      <x:c r="H32" s="40" t="n">
        <x:v>5</x:v>
      </x:c>
      <x:c r="I32" s="41" t="n">
        <x:f>IF(A32="","",IF(COUNT(G32,H32)&lt;&gt;2,"",IF(AND(G32&gt;=1,G32&lt;=5,H32&gt;=1,H32&lt;=5,MOD(G32,1)=0,MOD(H32,1)=0),G32*H32,"")))</x:f>
        <x:v>15</x:v>
      </x:c>
      <x:c r="J32" s="41" t="str">
        <x:f>IF(A32="","",IF(ISNUMBER(I32),IF(I32&gt;=16,"Critical",IF(I32&gt;=10,"High",IF(I32&gt;=5,"Medium","Low"))),"Not assessed"))</x:f>
        <x:v>High</x:v>
      </x:c>
      <x:c r="K32" s="40" t="str">
        <x:v>Contracts; access logging</x:v>
      </x:c>
      <x:c r="L32" s="40" t="str">
        <x:v>Partially Effective</x:v>
      </x:c>
      <x:c r="M32" s="40" t="n">
        <x:v>2</x:v>
      </x:c>
      <x:c r="N32" s="40" t="n">
        <x:v>5</x:v>
      </x:c>
      <x:c r="O32" s="41" t="n">
        <x:f>IF(A32="","",IF(COUNT(M32,N32)&lt;&gt;2,"",IF(AND(M32&gt;=1,M32&lt;=5,N32&gt;=1,N32&lt;=5,MOD(M32,1)=0,MOD(N32,1)=0),M32*N32,"")))</x:f>
        <x:v>10</x:v>
      </x:c>
      <x:c r="P32" s="41" t="str">
        <x:f>IF(A32="","",IF(ISNUMBER(O32),IF(O32&gt;=16,"Critical",IF(O32&gt;=10,"High",IF(O32&gt;=5,"Medium","Low"))),"Not assessed"))</x:f>
        <x:v>High</x:v>
      </x:c>
      <x:c r="Q32" s="40" t="str">
        <x:v>Mitigate</x:v>
      </x:c>
      <x:c r="R32" s="40" t="str">
        <x:v>Limit vendor access, monitor privileged vendor activity, and validate software sources.</x:v>
      </x:c>
      <x:c r="S32" s="40" t="str">
        <x:v>Vendor Manager</x:v>
      </x:c>
      <x:c r="T32" s="40" t="str">
        <x:v>Planned</x:v>
      </x:c>
      <x:c r="U32" s="42" t="n">
        <x:v>46362</x:v>
      </x:c>
      <x:c r="V32" s="40" t="str">
        <x:v>Govern / Identify / Protect</x:v>
      </x:c>
      <x:c r="W32" s="40" t="str">
        <x:v>CIS 15, 16</x:v>
      </x:c>
      <x:c r="X32" s="40" t="str">
        <x:v>Focus on suppliers with code or production access.</x:v>
      </x:c>
      <x:c r="Y32" s="92"/>
      <x:c r="Z32" s="92" t="str">
        <x:v>Scenario only</x:v>
      </x:c>
      <x:c r="AA32" s="92"/>
      <x:c r="AB32" s="97"/>
      <x:c r="AC32" s="92"/>
      <x:c r="AD32" s="96" t="str">
        <x:f>IF(COUNTA(A32:H32,K32:N32,Q32:AC32)=0,"",IF(A32="","Missing ID",IF(COUNTIF($A$5:$A$104,A32)&gt;1,"Duplicate ID",IF(OR(C32="",D32="",E32="",F32=""),"Missing risk context",IF(OR(NOT(ISNUMBER(I32)),NOT(ISNUMBER(O32))),"Incomplete or invalid scores",IF(OR(Q32="",S32="",T32=""),"Missing treatment or owner",IF(NOT(ISNUMBER(U32)),"Missing or invalid target date",IF(U32&lt;=0,"Missing or invalid target date","OK"))))))))</x:f>
        <x:v>OK</x:v>
      </x:c>
      <x:c r="AE32" s="96" t="str">
        <x:f>IF(A32="","",IF(AND(OR(T32="Closed",T32="Accepted"),OR(AC32="",Z32&lt;&gt;"Evidence reviewed",AA32="",NOT(ISNUMBER(AB32)))),"Closure review needed",IF(OR(Y32="",Z32="",AA32="",NOT(ISNUMBER(AB32))),"Add assessment support",IF(AB32&lt;=0,"Add assessment support","Notes present"))))</x:f>
        <x:v>Add assessment support</x:v>
      </x:c>
    </x:row>
    <x:row r="33" ht="100" customHeight="1">
      <x:c r="A33" s="40" t="str">
        <x:v>R-029</x:v>
      </x:c>
      <x:c r="B33" s="40" t="str">
        <x:v>Business Continuity</x:v>
      </x:c>
      <x:c r="C33" s="40" t="str">
        <x:v>Microsoft 365</x:v>
      </x:c>
      <x:c r="D33" s="40" t="str">
        <x:v>A SaaS outage could temporarily interrupt email and collaboration.</x:v>
      </x:c>
      <x:c r="E33" s="40" t="str">
        <x:v>Service outage</x:v>
      </x:c>
      <x:c r="F33" s="40" t="str">
        <x:v>Limited alternate communication procedures</x:v>
      </x:c>
      <x:c r="G33" s="40" t="n">
        <x:v>2</x:v>
      </x:c>
      <x:c r="H33" s="40" t="n">
        <x:v>4</x:v>
      </x:c>
      <x:c r="I33" s="41" t="n">
        <x:f>IF(A33="","",IF(COUNT(G33,H33)&lt;&gt;2,"",IF(AND(G33&gt;=1,G33&lt;=5,H33&gt;=1,H33&lt;=5,MOD(G33,1)=0,MOD(H33,1)=0),G33*H33,"")))</x:f>
        <x:v>8</x:v>
      </x:c>
      <x:c r="J33" s="41" t="str">
        <x:f>IF(A33="","",IF(ISNUMBER(I33),IF(I33&gt;=16,"Critical",IF(I33&gt;=10,"High",IF(I33&gt;=5,"Medium","Low"))),"Not assessed"))</x:f>
        <x:v>Medium</x:v>
      </x:c>
      <x:c r="K33" s="40" t="str">
        <x:v>Provider availability; mobile communications</x:v>
      </x:c>
      <x:c r="L33" s="40" t="str">
        <x:v>Effective</x:v>
      </x:c>
      <x:c r="M33" s="40" t="n">
        <x:v>1</x:v>
      </x:c>
      <x:c r="N33" s="40" t="n">
        <x:v>3</x:v>
      </x:c>
      <x:c r="O33" s="41" t="n">
        <x:f>IF(A33="","",IF(COUNT(M33,N33)&lt;&gt;2,"",IF(AND(M33&gt;=1,M33&lt;=5,N33&gt;=1,N33&lt;=5,MOD(M33,1)=0,MOD(N33,1)=0),M33*N33,"")))</x:f>
        <x:v>3</x:v>
      </x:c>
      <x:c r="P33" s="41" t="str">
        <x:f>IF(A33="","",IF(ISNUMBER(O33),IF(O33&gt;=16,"Critical",IF(O33&gt;=10,"High",IF(O33&gt;=5,"Medium","Low"))),"Not assessed"))</x:f>
        <x:v>Low</x:v>
      </x:c>
      <x:c r="Q33" s="40" t="str">
        <x:v>Accept</x:v>
      </x:c>
      <x:c r="R33" s="40" t="str">
        <x:v>Document alternate communications and administrator recovery procedures.</x:v>
      </x:c>
      <x:c r="S33" s="40" t="str">
        <x:v>Operations Manager</x:v>
      </x:c>
      <x:c r="T33" s="40" t="str">
        <x:v>Accepted</x:v>
      </x:c>
      <x:c r="U33" s="42" t="n">
        <x:v>46452</x:v>
      </x:c>
      <x:c r="V33" s="40" t="str">
        <x:v>Recover</x:v>
      </x:c>
      <x:c r="W33" s="40" t="str">
        <x:v>CIS 11</x:v>
      </x:c>
      <x:c r="X33" s="40" t="str">
        <x:v>Simulated risk acceptance due to provider resilience and lower residual impact.</x:v>
      </x:c>
      <x:c r="Y33" s="92"/>
      <x:c r="Z33" s="92" t="str">
        <x:v>Scenario only</x:v>
      </x:c>
      <x:c r="AA33" s="92"/>
      <x:c r="AB33" s="97"/>
      <x:c r="AC33" s="92"/>
      <x:c r="AD33" s="96" t="str">
        <x:f>IF(COUNTA(A33:H33,K33:N33,Q33:AC33)=0,"",IF(A33="","Missing ID",IF(COUNTIF($A$5:$A$104,A33)&gt;1,"Duplicate ID",IF(OR(C33="",D33="",E33="",F33=""),"Missing risk context",IF(OR(NOT(ISNUMBER(I33)),NOT(ISNUMBER(O33))),"Incomplete or invalid scores",IF(OR(Q33="",S33="",T33=""),"Missing treatment or owner",IF(NOT(ISNUMBER(U33)),"Missing or invalid target date",IF(U33&lt;=0,"Missing or invalid target date","OK"))))))))</x:f>
        <x:v>OK</x:v>
      </x:c>
      <x:c r="AE33" s="96" t="str">
        <x:f>IF(A33="","",IF(AND(OR(T33="Closed",T33="Accepted"),OR(AC33="",Z33&lt;&gt;"Evidence reviewed",AA33="",NOT(ISNUMBER(AB33)))),"Closure review needed",IF(OR(Y33="",Z33="",AA33="",NOT(ISNUMBER(AB33))),"Add assessment support",IF(AB33&lt;=0,"Add assessment support","Notes present"))))</x:f>
        <x:v>Closure review needed</x:v>
      </x:c>
    </x:row>
    <x:row r="34" ht="100" customHeight="1">
      <x:c r="A34" s="40" t="str">
        <x:v>R-030</x:v>
      </x:c>
      <x:c r="B34" s="40" t="str">
        <x:v>Governance &amp; Compliance</x:v>
      </x:c>
      <x:c r="C34" s="40" t="str">
        <x:v>Security exceptions</x:v>
      </x:c>
      <x:c r="D34" s="40" t="str">
        <x:v>Security exceptions could remain open indefinitely without documented owners, compensating controls, or expiration dates.</x:v>
      </x:c>
      <x:c r="E34" s="40" t="str">
        <x:v>Governance failure</x:v>
      </x:c>
      <x:c r="F34" s="40" t="str">
        <x:v>No central exception register</x:v>
      </x:c>
      <x:c r="G34" s="40" t="n">
        <x:v>3</x:v>
      </x:c>
      <x:c r="H34" s="40" t="n">
        <x:v>4</x:v>
      </x:c>
      <x:c r="I34" s="41" t="n">
        <x:f>IF(A34="","",IF(COUNT(G34,H34)&lt;&gt;2,"",IF(AND(G34&gt;=1,G34&lt;=5,H34&gt;=1,H34&lt;=5,MOD(G34,1)=0,MOD(H34,1)=0),G34*H34,"")))</x:f>
        <x:v>12</x:v>
      </x:c>
      <x:c r="J34" s="41" t="str">
        <x:f>IF(A34="","",IF(ISNUMBER(I34),IF(I34&gt;=16,"Critical",IF(I34&gt;=10,"High",IF(I34&gt;=5,"Medium","Low"))),"Not assessed"))</x:f>
        <x:v>High</x:v>
      </x:c>
      <x:c r="K34" s="40" t="str">
        <x:v>Manager approvals by email</x:v>
      </x:c>
      <x:c r="L34" s="40" t="str">
        <x:v>Ineffective</x:v>
      </x:c>
      <x:c r="M34" s="40" t="n">
        <x:v>2</x:v>
      </x:c>
      <x:c r="N34" s="40" t="n">
        <x:v>3</x:v>
      </x:c>
      <x:c r="O34" s="41" t="n">
        <x:f>IF(A34="","",IF(COUNT(M34,N34)&lt;&gt;2,"",IF(AND(M34&gt;=1,M34&lt;=5,N34&gt;=1,N34&lt;=5,MOD(M34,1)=0,MOD(N34,1)=0),M34*N34,"")))</x:f>
        <x:v>6</x:v>
      </x:c>
      <x:c r="P34" s="41" t="str">
        <x:f>IF(A34="","",IF(ISNUMBER(O34),IF(O34&gt;=16,"Critical",IF(O34&gt;=10,"High",IF(O34&gt;=5,"Medium","Low"))),"Not assessed"))</x:f>
        <x:v>Medium</x:v>
      </x:c>
      <x:c r="Q34" s="40" t="str">
        <x:v>Mitigate</x:v>
      </x:c>
      <x:c r="R34" s="40" t="str">
        <x:v>Create an exception register with owner, justification, compensating control, approval, and expiration.</x:v>
      </x:c>
      <x:c r="S34" s="40" t="str">
        <x:v>Compliance Manager</x:v>
      </x:c>
      <x:c r="T34" s="40" t="str">
        <x:v>Open</x:v>
      </x:c>
      <x:c r="U34" s="42" t="n">
        <x:v>46332</x:v>
      </x:c>
      <x:c r="V34" s="40" t="str">
        <x:v>Govern</x:v>
      </x:c>
      <x:c r="W34" s="40" t="str">
        <x:v>CIS 17; governance context</x:v>
      </x:c>
      <x:c r="X34" s="40" t="str">
        <x:v>Link exceptions back to risk IDs where relevant.</x:v>
      </x:c>
      <x:c r="Y34" s="92"/>
      <x:c r="Z34" s="92" t="str">
        <x:v>Scenario only</x:v>
      </x:c>
      <x:c r="AA34" s="92"/>
      <x:c r="AB34" s="97"/>
      <x:c r="AC34" s="92"/>
      <x:c r="AD34" s="96" t="str">
        <x:f>IF(COUNTA(A34:H34,K34:N34,Q34:AC34)=0,"",IF(A34="","Missing ID",IF(COUNTIF($A$5:$A$104,A34)&gt;1,"Duplicate ID",IF(OR(C34="",D34="",E34="",F34=""),"Missing risk context",IF(OR(NOT(ISNUMBER(I34)),NOT(ISNUMBER(O34))),"Incomplete or invalid scores",IF(OR(Q34="",S34="",T34=""),"Missing treatment or owner",IF(NOT(ISNUMBER(U34)),"Missing or invalid target date",IF(U34&lt;=0,"Missing or invalid target date","OK"))))))))</x:f>
        <x:v>OK</x:v>
      </x:c>
      <x:c r="AE34" s="96" t="str">
        <x:f>IF(A34="","",IF(AND(OR(T34="Closed",T34="Accepted"),OR(AC34="",Z34&lt;&gt;"Evidence reviewed",AA34="",NOT(ISNUMBER(AB34)))),"Closure review needed",IF(OR(Y34="",Z34="",AA34="",NOT(ISNUMBER(AB34))),"Add assessment support",IF(AB34&lt;=0,"Add assessment support","Notes present"))))</x:f>
        <x:v>Add assessment support</x:v>
      </x:c>
    </x:row>
    <x:row r="35" ht="36" customHeight="1">
      <x:c r="A35" s="40"/>
      <x:c r="B35" s="40"/>
      <x:c r="C35" s="40"/>
      <x:c r="D35" s="40"/>
      <x:c r="E35" s="40"/>
      <x:c r="F35" s="40"/>
      <x:c r="G35" s="40"/>
      <x:c r="H35" s="40"/>
      <x:c r="I35" s="41" t="str">
        <x:f>IF(A35="","",IF(COUNT(G35,H35)&lt;&gt;2,"",IF(AND(G35&gt;=1,G35&lt;=5,H35&gt;=1,H35&lt;=5,MOD(G35,1)=0,MOD(H35,1)=0),G35*H35,"")))</x:f>
      </x:c>
      <x:c r="J35" s="41" t="str">
        <x:f>IF(A35="","",IF(ISNUMBER(I35),IF(I35&gt;=16,"Critical",IF(I35&gt;=10,"High",IF(I35&gt;=5,"Medium","Low"))),"Not assessed"))</x:f>
      </x:c>
      <x:c r="K35" s="40"/>
      <x:c r="L35" s="40"/>
      <x:c r="M35" s="40"/>
      <x:c r="N35" s="40"/>
      <x:c r="O35" s="41" t="str">
        <x:f>IF(A35="","",IF(COUNT(M35,N35)&lt;&gt;2,"",IF(AND(M35&gt;=1,M35&lt;=5,N35&gt;=1,N35&lt;=5,MOD(M35,1)=0,MOD(N35,1)=0),M35*N35,"")))</x:f>
      </x:c>
      <x:c r="P35" s="41" t="str">
        <x:f>IF(A35="","",IF(ISNUMBER(O35),IF(O35&gt;=16,"Critical",IF(O35&gt;=10,"High",IF(O35&gt;=5,"Medium","Low"))),"Not assessed"))</x:f>
      </x:c>
      <x:c r="Q35" s="40"/>
      <x:c r="R35" s="40"/>
      <x:c r="S35" s="40"/>
      <x:c r="T35" s="40"/>
      <x:c r="U35" s="42"/>
      <x:c r="V35" s="40"/>
      <x:c r="W35" s="40"/>
      <x:c r="X35" s="40"/>
      <x:c r="Y35" s="92"/>
      <x:c r="Z35" s="92"/>
      <x:c r="AA35" s="92"/>
      <x:c r="AB35" s="97"/>
      <x:c r="AC35" s="92"/>
      <x:c r="AD35" s="96" t="str">
        <x:f>IF(COUNTA(A35:H35,K35:N35,Q35:AC35)=0,"",IF(A35="","Missing ID",IF(COUNTIF($A$5:$A$104,A35)&gt;1,"Duplicate ID",IF(OR(C35="",D35="",E35="",F35=""),"Missing risk context",IF(OR(NOT(ISNUMBER(I35)),NOT(ISNUMBER(O35))),"Incomplete or invalid scores",IF(OR(Q35="",S35="",T35=""),"Missing treatment or owner",IF(NOT(ISNUMBER(U35)),"Missing or invalid target date",IF(U35&lt;=0,"Missing or invalid target date","OK"))))))))</x:f>
      </x:c>
      <x:c r="AE35" s="96" t="str">
        <x:f>IF(A35="","",IF(AND(OR(T35="Closed",T35="Accepted"),OR(AC35="",Z35&lt;&gt;"Evidence reviewed",AA35="",NOT(ISNUMBER(AB35)))),"Closure review needed",IF(OR(Y35="",Z35="",AA35="",NOT(ISNUMBER(AB35))),"Add assessment support",IF(AB35&lt;=0,"Add assessment support","Notes present"))))</x:f>
      </x:c>
    </x:row>
    <x:row r="36" ht="36" customHeight="1">
      <x:c r="A36" s="40"/>
      <x:c r="B36" s="40"/>
      <x:c r="C36" s="40"/>
      <x:c r="D36" s="40"/>
      <x:c r="E36" s="40"/>
      <x:c r="F36" s="40"/>
      <x:c r="G36" s="40"/>
      <x:c r="H36" s="40"/>
      <x:c r="I36" s="41" t="str">
        <x:f>IF(A36="","",IF(COUNT(G36,H36)&lt;&gt;2,"",IF(AND(G36&gt;=1,G36&lt;=5,H36&gt;=1,H36&lt;=5,MOD(G36,1)=0,MOD(H36,1)=0),G36*H36,"")))</x:f>
      </x:c>
      <x:c r="J36" s="41" t="str">
        <x:f>IF(A36="","",IF(ISNUMBER(I36),IF(I36&gt;=16,"Critical",IF(I36&gt;=10,"High",IF(I36&gt;=5,"Medium","Low"))),"Not assessed"))</x:f>
      </x:c>
      <x:c r="K36" s="40"/>
      <x:c r="L36" s="40"/>
      <x:c r="M36" s="40"/>
      <x:c r="N36" s="40"/>
      <x:c r="O36" s="41" t="str">
        <x:f>IF(A36="","",IF(COUNT(M36,N36)&lt;&gt;2,"",IF(AND(M36&gt;=1,M36&lt;=5,N36&gt;=1,N36&lt;=5,MOD(M36,1)=0,MOD(N36,1)=0),M36*N36,"")))</x:f>
      </x:c>
      <x:c r="P36" s="41" t="str">
        <x:f>IF(A36="","",IF(ISNUMBER(O36),IF(O36&gt;=16,"Critical",IF(O36&gt;=10,"High",IF(O36&gt;=5,"Medium","Low"))),"Not assessed"))</x:f>
      </x:c>
      <x:c r="Q36" s="40"/>
      <x:c r="R36" s="40"/>
      <x:c r="S36" s="40"/>
      <x:c r="T36" s="40"/>
      <x:c r="U36" s="42"/>
      <x:c r="V36" s="40"/>
      <x:c r="W36" s="40"/>
      <x:c r="X36" s="40"/>
      <x:c r="Y36" s="92"/>
      <x:c r="Z36" s="92"/>
      <x:c r="AA36" s="92"/>
      <x:c r="AB36" s="97"/>
      <x:c r="AC36" s="92"/>
      <x:c r="AD36" s="96" t="str">
        <x:f>IF(COUNTA(A36:H36,K36:N36,Q36:AC36)=0,"",IF(A36="","Missing ID",IF(COUNTIF($A$5:$A$104,A36)&gt;1,"Duplicate ID",IF(OR(C36="",D36="",E36="",F36=""),"Missing risk context",IF(OR(NOT(ISNUMBER(I36)),NOT(ISNUMBER(O36))),"Incomplete or invalid scores",IF(OR(Q36="",S36="",T36=""),"Missing treatment or owner",IF(NOT(ISNUMBER(U36)),"Missing or invalid target date",IF(U36&lt;=0,"Missing or invalid target date","OK"))))))))</x:f>
      </x:c>
      <x:c r="AE36" s="96" t="str">
        <x:f>IF(A36="","",IF(AND(OR(T36="Closed",T36="Accepted"),OR(AC36="",Z36&lt;&gt;"Evidence reviewed",AA36="",NOT(ISNUMBER(AB36)))),"Closure review needed",IF(OR(Y36="",Z36="",AA36="",NOT(ISNUMBER(AB36))),"Add assessment support",IF(AB36&lt;=0,"Add assessment support","Notes present"))))</x:f>
      </x:c>
    </x:row>
    <x:row r="37" ht="36" customHeight="1">
      <x:c r="A37" s="40"/>
      <x:c r="B37" s="40"/>
      <x:c r="C37" s="40"/>
      <x:c r="D37" s="40"/>
      <x:c r="E37" s="40"/>
      <x:c r="F37" s="40"/>
      <x:c r="G37" s="40"/>
      <x:c r="H37" s="40"/>
      <x:c r="I37" s="41" t="str">
        <x:f>IF(A37="","",IF(COUNT(G37,H37)&lt;&gt;2,"",IF(AND(G37&gt;=1,G37&lt;=5,H37&gt;=1,H37&lt;=5,MOD(G37,1)=0,MOD(H37,1)=0),G37*H37,"")))</x:f>
      </x:c>
      <x:c r="J37" s="41" t="str">
        <x:f>IF(A37="","",IF(ISNUMBER(I37),IF(I37&gt;=16,"Critical",IF(I37&gt;=10,"High",IF(I37&gt;=5,"Medium","Low"))),"Not assessed"))</x:f>
      </x:c>
      <x:c r="K37" s="40"/>
      <x:c r="L37" s="40"/>
      <x:c r="M37" s="40"/>
      <x:c r="N37" s="40"/>
      <x:c r="O37" s="41" t="str">
        <x:f>IF(A37="","",IF(COUNT(M37,N37)&lt;&gt;2,"",IF(AND(M37&gt;=1,M37&lt;=5,N37&gt;=1,N37&lt;=5,MOD(M37,1)=0,MOD(N37,1)=0),M37*N37,"")))</x:f>
      </x:c>
      <x:c r="P37" s="41" t="str">
        <x:f>IF(A37="","",IF(ISNUMBER(O37),IF(O37&gt;=16,"Critical",IF(O37&gt;=10,"High",IF(O37&gt;=5,"Medium","Low"))),"Not assessed"))</x:f>
      </x:c>
      <x:c r="Q37" s="40"/>
      <x:c r="R37" s="40"/>
      <x:c r="S37" s="40"/>
      <x:c r="T37" s="40"/>
      <x:c r="U37" s="42"/>
      <x:c r="V37" s="40"/>
      <x:c r="W37" s="40"/>
      <x:c r="X37" s="40"/>
      <x:c r="Y37" s="92"/>
      <x:c r="Z37" s="92"/>
      <x:c r="AA37" s="92"/>
      <x:c r="AB37" s="97"/>
      <x:c r="AC37" s="92"/>
      <x:c r="AD37" s="96" t="str">
        <x:f>IF(COUNTA(A37:H37,K37:N37,Q37:AC37)=0,"",IF(A37="","Missing ID",IF(COUNTIF($A$5:$A$104,A37)&gt;1,"Duplicate ID",IF(OR(C37="",D37="",E37="",F37=""),"Missing risk context",IF(OR(NOT(ISNUMBER(I37)),NOT(ISNUMBER(O37))),"Incomplete or invalid scores",IF(OR(Q37="",S37="",T37=""),"Missing treatment or owner",IF(NOT(ISNUMBER(U37)),"Missing or invalid target date",IF(U37&lt;=0,"Missing or invalid target date","OK"))))))))</x:f>
      </x:c>
      <x:c r="AE37" s="96" t="str">
        <x:f>IF(A37="","",IF(AND(OR(T37="Closed",T37="Accepted"),OR(AC37="",Z37&lt;&gt;"Evidence reviewed",AA37="",NOT(ISNUMBER(AB37)))),"Closure review needed",IF(OR(Y37="",Z37="",AA37="",NOT(ISNUMBER(AB37))),"Add assessment support",IF(AB37&lt;=0,"Add assessment support","Notes present"))))</x:f>
      </x:c>
    </x:row>
    <x:row r="38" ht="36" customHeight="1">
      <x:c r="A38" s="40"/>
      <x:c r="B38" s="40"/>
      <x:c r="C38" s="40"/>
      <x:c r="D38" s="40"/>
      <x:c r="E38" s="40"/>
      <x:c r="F38" s="40"/>
      <x:c r="G38" s="40"/>
      <x:c r="H38" s="40"/>
      <x:c r="I38" s="41" t="str">
        <x:f>IF(A38="","",IF(COUNT(G38,H38)&lt;&gt;2,"",IF(AND(G38&gt;=1,G38&lt;=5,H38&gt;=1,H38&lt;=5,MOD(G38,1)=0,MOD(H38,1)=0),G38*H38,"")))</x:f>
      </x:c>
      <x:c r="J38" s="41" t="str">
        <x:f>IF(A38="","",IF(ISNUMBER(I38),IF(I38&gt;=16,"Critical",IF(I38&gt;=10,"High",IF(I38&gt;=5,"Medium","Low"))),"Not assessed"))</x:f>
      </x:c>
      <x:c r="K38" s="40"/>
      <x:c r="L38" s="40"/>
      <x:c r="M38" s="40"/>
      <x:c r="N38" s="40"/>
      <x:c r="O38" s="41" t="str">
        <x:f>IF(A38="","",IF(COUNT(M38,N38)&lt;&gt;2,"",IF(AND(M38&gt;=1,M38&lt;=5,N38&gt;=1,N38&lt;=5,MOD(M38,1)=0,MOD(N38,1)=0),M38*N38,"")))</x:f>
      </x:c>
      <x:c r="P38" s="41" t="str">
        <x:f>IF(A38="","",IF(ISNUMBER(O38),IF(O38&gt;=16,"Critical",IF(O38&gt;=10,"High",IF(O38&gt;=5,"Medium","Low"))),"Not assessed"))</x:f>
      </x:c>
      <x:c r="Q38" s="40"/>
      <x:c r="R38" s="40"/>
      <x:c r="S38" s="40"/>
      <x:c r="T38" s="40"/>
      <x:c r="U38" s="42"/>
      <x:c r="V38" s="40"/>
      <x:c r="W38" s="40"/>
      <x:c r="X38" s="40"/>
      <x:c r="Y38" s="92"/>
      <x:c r="Z38" s="92"/>
      <x:c r="AA38" s="92"/>
      <x:c r="AB38" s="97"/>
      <x:c r="AC38" s="92"/>
      <x:c r="AD38" s="96" t="str">
        <x:f>IF(COUNTA(A38:H38,K38:N38,Q38:AC38)=0,"",IF(A38="","Missing ID",IF(COUNTIF($A$5:$A$104,A38)&gt;1,"Duplicate ID",IF(OR(C38="",D38="",E38="",F38=""),"Missing risk context",IF(OR(NOT(ISNUMBER(I38)),NOT(ISNUMBER(O38))),"Incomplete or invalid scores",IF(OR(Q38="",S38="",T38=""),"Missing treatment or owner",IF(NOT(ISNUMBER(U38)),"Missing or invalid target date",IF(U38&lt;=0,"Missing or invalid target date","OK"))))))))</x:f>
      </x:c>
      <x:c r="AE38" s="96" t="str">
        <x:f>IF(A38="","",IF(AND(OR(T38="Closed",T38="Accepted"),OR(AC38="",Z38&lt;&gt;"Evidence reviewed",AA38="",NOT(ISNUMBER(AB38)))),"Closure review needed",IF(OR(Y38="",Z38="",AA38="",NOT(ISNUMBER(AB38))),"Add assessment support",IF(AB38&lt;=0,"Add assessment support","Notes present"))))</x:f>
      </x:c>
    </x:row>
    <x:row r="39" ht="36" customHeight="1">
      <x:c r="A39" s="40"/>
      <x:c r="B39" s="40"/>
      <x:c r="C39" s="40"/>
      <x:c r="D39" s="40"/>
      <x:c r="E39" s="40"/>
      <x:c r="F39" s="40"/>
      <x:c r="G39" s="40"/>
      <x:c r="H39" s="40"/>
      <x:c r="I39" s="41" t="str">
        <x:f>IF(A39="","",IF(COUNT(G39,H39)&lt;&gt;2,"",IF(AND(G39&gt;=1,G39&lt;=5,H39&gt;=1,H39&lt;=5,MOD(G39,1)=0,MOD(H39,1)=0),G39*H39,"")))</x:f>
      </x:c>
      <x:c r="J39" s="41" t="str">
        <x:f>IF(A39="","",IF(ISNUMBER(I39),IF(I39&gt;=16,"Critical",IF(I39&gt;=10,"High",IF(I39&gt;=5,"Medium","Low"))),"Not assessed"))</x:f>
      </x:c>
      <x:c r="K39" s="40"/>
      <x:c r="L39" s="40"/>
      <x:c r="M39" s="40"/>
      <x:c r="N39" s="40"/>
      <x:c r="O39" s="41" t="str">
        <x:f>IF(A39="","",IF(COUNT(M39,N39)&lt;&gt;2,"",IF(AND(M39&gt;=1,M39&lt;=5,N39&gt;=1,N39&lt;=5,MOD(M39,1)=0,MOD(N39,1)=0),M39*N39,"")))</x:f>
      </x:c>
      <x:c r="P39" s="41" t="str">
        <x:f>IF(A39="","",IF(ISNUMBER(O39),IF(O39&gt;=16,"Critical",IF(O39&gt;=10,"High",IF(O39&gt;=5,"Medium","Low"))),"Not assessed"))</x:f>
      </x:c>
      <x:c r="Q39" s="40"/>
      <x:c r="R39" s="40"/>
      <x:c r="S39" s="40"/>
      <x:c r="T39" s="40"/>
      <x:c r="U39" s="42"/>
      <x:c r="V39" s="40"/>
      <x:c r="W39" s="40"/>
      <x:c r="X39" s="40"/>
      <x:c r="Y39" s="92"/>
      <x:c r="Z39" s="92"/>
      <x:c r="AA39" s="92"/>
      <x:c r="AB39" s="97"/>
      <x:c r="AC39" s="92"/>
      <x:c r="AD39" s="96" t="str">
        <x:f>IF(COUNTA(A39:H39,K39:N39,Q39:AC39)=0,"",IF(A39="","Missing ID",IF(COUNTIF($A$5:$A$104,A39)&gt;1,"Duplicate ID",IF(OR(C39="",D39="",E39="",F39=""),"Missing risk context",IF(OR(NOT(ISNUMBER(I39)),NOT(ISNUMBER(O39))),"Incomplete or invalid scores",IF(OR(Q39="",S39="",T39=""),"Missing treatment or owner",IF(NOT(ISNUMBER(U39)),"Missing or invalid target date",IF(U39&lt;=0,"Missing or invalid target date","OK"))))))))</x:f>
      </x:c>
      <x:c r="AE39" s="96" t="str">
        <x:f>IF(A39="","",IF(AND(OR(T39="Closed",T39="Accepted"),OR(AC39="",Z39&lt;&gt;"Evidence reviewed",AA39="",NOT(ISNUMBER(AB39)))),"Closure review needed",IF(OR(Y39="",Z39="",AA39="",NOT(ISNUMBER(AB39))),"Add assessment support",IF(AB39&lt;=0,"Add assessment support","Notes present"))))</x:f>
      </x:c>
    </x:row>
    <x:row r="40" ht="36" customHeight="1">
      <x:c r="A40" s="40"/>
      <x:c r="B40" s="40"/>
      <x:c r="C40" s="40"/>
      <x:c r="D40" s="40"/>
      <x:c r="E40" s="40"/>
      <x:c r="F40" s="40"/>
      <x:c r="G40" s="40"/>
      <x:c r="H40" s="40"/>
      <x:c r="I40" s="41" t="str">
        <x:f>IF(A40="","",IF(COUNT(G40,H40)&lt;&gt;2,"",IF(AND(G40&gt;=1,G40&lt;=5,H40&gt;=1,H40&lt;=5,MOD(G40,1)=0,MOD(H40,1)=0),G40*H40,"")))</x:f>
      </x:c>
      <x:c r="J40" s="41" t="str">
        <x:f>IF(A40="","",IF(ISNUMBER(I40),IF(I40&gt;=16,"Critical",IF(I40&gt;=10,"High",IF(I40&gt;=5,"Medium","Low"))),"Not assessed"))</x:f>
      </x:c>
      <x:c r="K40" s="40"/>
      <x:c r="L40" s="40"/>
      <x:c r="M40" s="40"/>
      <x:c r="N40" s="40"/>
      <x:c r="O40" s="41" t="str">
        <x:f>IF(A40="","",IF(COUNT(M40,N40)&lt;&gt;2,"",IF(AND(M40&gt;=1,M40&lt;=5,N40&gt;=1,N40&lt;=5,MOD(M40,1)=0,MOD(N40,1)=0),M40*N40,"")))</x:f>
      </x:c>
      <x:c r="P40" s="41" t="str">
        <x:f>IF(A40="","",IF(ISNUMBER(O40),IF(O40&gt;=16,"Critical",IF(O40&gt;=10,"High",IF(O40&gt;=5,"Medium","Low"))),"Not assessed"))</x:f>
      </x:c>
      <x:c r="Q40" s="40"/>
      <x:c r="R40" s="40"/>
      <x:c r="S40" s="40"/>
      <x:c r="T40" s="40"/>
      <x:c r="U40" s="42"/>
      <x:c r="V40" s="40"/>
      <x:c r="W40" s="40"/>
      <x:c r="X40" s="40"/>
      <x:c r="Y40" s="92"/>
      <x:c r="Z40" s="92"/>
      <x:c r="AA40" s="92"/>
      <x:c r="AB40" s="97"/>
      <x:c r="AC40" s="92"/>
      <x:c r="AD40" s="96" t="str">
        <x:f>IF(COUNTA(A40:H40,K40:N40,Q40:AC40)=0,"",IF(A40="","Missing ID",IF(COUNTIF($A$5:$A$104,A40)&gt;1,"Duplicate ID",IF(OR(C40="",D40="",E40="",F40=""),"Missing risk context",IF(OR(NOT(ISNUMBER(I40)),NOT(ISNUMBER(O40))),"Incomplete or invalid scores",IF(OR(Q40="",S40="",T40=""),"Missing treatment or owner",IF(NOT(ISNUMBER(U40)),"Missing or invalid target date",IF(U40&lt;=0,"Missing or invalid target date","OK"))))))))</x:f>
      </x:c>
      <x:c r="AE40" s="96" t="str">
        <x:f>IF(A40="","",IF(AND(OR(T40="Closed",T40="Accepted"),OR(AC40="",Z40&lt;&gt;"Evidence reviewed",AA40="",NOT(ISNUMBER(AB40)))),"Closure review needed",IF(OR(Y40="",Z40="",AA40="",NOT(ISNUMBER(AB40))),"Add assessment support",IF(AB40&lt;=0,"Add assessment support","Notes present"))))</x:f>
      </x:c>
    </x:row>
    <x:row r="41" ht="36" customHeight="1">
      <x:c r="A41" s="40"/>
      <x:c r="B41" s="40"/>
      <x:c r="C41" s="40"/>
      <x:c r="D41" s="40"/>
      <x:c r="E41" s="40"/>
      <x:c r="F41" s="40"/>
      <x:c r="G41" s="40"/>
      <x:c r="H41" s="40"/>
      <x:c r="I41" s="41" t="str">
        <x:f>IF(A41="","",IF(COUNT(G41,H41)&lt;&gt;2,"",IF(AND(G41&gt;=1,G41&lt;=5,H41&gt;=1,H41&lt;=5,MOD(G41,1)=0,MOD(H41,1)=0),G41*H41,"")))</x:f>
      </x:c>
      <x:c r="J41" s="41" t="str">
        <x:f>IF(A41="","",IF(ISNUMBER(I41),IF(I41&gt;=16,"Critical",IF(I41&gt;=10,"High",IF(I41&gt;=5,"Medium","Low"))),"Not assessed"))</x:f>
      </x:c>
      <x:c r="K41" s="40"/>
      <x:c r="L41" s="40"/>
      <x:c r="M41" s="40"/>
      <x:c r="N41" s="40"/>
      <x:c r="O41" s="41" t="str">
        <x:f>IF(A41="","",IF(COUNT(M41,N41)&lt;&gt;2,"",IF(AND(M41&gt;=1,M41&lt;=5,N41&gt;=1,N41&lt;=5,MOD(M41,1)=0,MOD(N41,1)=0),M41*N41,"")))</x:f>
      </x:c>
      <x:c r="P41" s="41" t="str">
        <x:f>IF(A41="","",IF(ISNUMBER(O41),IF(O41&gt;=16,"Critical",IF(O41&gt;=10,"High",IF(O41&gt;=5,"Medium","Low"))),"Not assessed"))</x:f>
      </x:c>
      <x:c r="Q41" s="40"/>
      <x:c r="R41" s="40"/>
      <x:c r="S41" s="40"/>
      <x:c r="T41" s="40"/>
      <x:c r="U41" s="42"/>
      <x:c r="V41" s="40"/>
      <x:c r="W41" s="40"/>
      <x:c r="X41" s="40"/>
      <x:c r="Y41" s="92"/>
      <x:c r="Z41" s="92"/>
      <x:c r="AA41" s="92"/>
      <x:c r="AB41" s="97"/>
      <x:c r="AC41" s="92"/>
      <x:c r="AD41" s="96" t="str">
        <x:f>IF(COUNTA(A41:H41,K41:N41,Q41:AC41)=0,"",IF(A41="","Missing ID",IF(COUNTIF($A$5:$A$104,A41)&gt;1,"Duplicate ID",IF(OR(C41="",D41="",E41="",F41=""),"Missing risk context",IF(OR(NOT(ISNUMBER(I41)),NOT(ISNUMBER(O41))),"Incomplete or invalid scores",IF(OR(Q41="",S41="",T41=""),"Missing treatment or owner",IF(NOT(ISNUMBER(U41)),"Missing or invalid target date",IF(U41&lt;=0,"Missing or invalid target date","OK"))))))))</x:f>
      </x:c>
      <x:c r="AE41" s="96" t="str">
        <x:f>IF(A41="","",IF(AND(OR(T41="Closed",T41="Accepted"),OR(AC41="",Z41&lt;&gt;"Evidence reviewed",AA41="",NOT(ISNUMBER(AB41)))),"Closure review needed",IF(OR(Y41="",Z41="",AA41="",NOT(ISNUMBER(AB41))),"Add assessment support",IF(AB41&lt;=0,"Add assessment support","Notes present"))))</x:f>
      </x:c>
    </x:row>
    <x:row r="42" ht="36" customHeight="1">
      <x:c r="A42" s="40"/>
      <x:c r="B42" s="40"/>
      <x:c r="C42" s="40"/>
      <x:c r="D42" s="40"/>
      <x:c r="E42" s="40"/>
      <x:c r="F42" s="40"/>
      <x:c r="G42" s="40"/>
      <x:c r="H42" s="40"/>
      <x:c r="I42" s="41" t="str">
        <x:f>IF(A42="","",IF(COUNT(G42,H42)&lt;&gt;2,"",IF(AND(G42&gt;=1,G42&lt;=5,H42&gt;=1,H42&lt;=5,MOD(G42,1)=0,MOD(H42,1)=0),G42*H42,"")))</x:f>
      </x:c>
      <x:c r="J42" s="41" t="str">
        <x:f>IF(A42="","",IF(ISNUMBER(I42),IF(I42&gt;=16,"Critical",IF(I42&gt;=10,"High",IF(I42&gt;=5,"Medium","Low"))),"Not assessed"))</x:f>
      </x:c>
      <x:c r="K42" s="40"/>
      <x:c r="L42" s="40"/>
      <x:c r="M42" s="40"/>
      <x:c r="N42" s="40"/>
      <x:c r="O42" s="41" t="str">
        <x:f>IF(A42="","",IF(COUNT(M42,N42)&lt;&gt;2,"",IF(AND(M42&gt;=1,M42&lt;=5,N42&gt;=1,N42&lt;=5,MOD(M42,1)=0,MOD(N42,1)=0),M42*N42,"")))</x:f>
      </x:c>
      <x:c r="P42" s="41" t="str">
        <x:f>IF(A42="","",IF(ISNUMBER(O42),IF(O42&gt;=16,"Critical",IF(O42&gt;=10,"High",IF(O42&gt;=5,"Medium","Low"))),"Not assessed"))</x:f>
      </x:c>
      <x:c r="Q42" s="40"/>
      <x:c r="R42" s="40"/>
      <x:c r="S42" s="40"/>
      <x:c r="T42" s="40"/>
      <x:c r="U42" s="42"/>
      <x:c r="V42" s="40"/>
      <x:c r="W42" s="40"/>
      <x:c r="X42" s="40"/>
      <x:c r="Y42" s="92"/>
      <x:c r="Z42" s="92"/>
      <x:c r="AA42" s="92"/>
      <x:c r="AB42" s="97"/>
      <x:c r="AC42" s="92"/>
      <x:c r="AD42" s="96" t="str">
        <x:f>IF(COUNTA(A42:H42,K42:N42,Q42:AC42)=0,"",IF(A42="","Missing ID",IF(COUNTIF($A$5:$A$104,A42)&gt;1,"Duplicate ID",IF(OR(C42="",D42="",E42="",F42=""),"Missing risk context",IF(OR(NOT(ISNUMBER(I42)),NOT(ISNUMBER(O42))),"Incomplete or invalid scores",IF(OR(Q42="",S42="",T42=""),"Missing treatment or owner",IF(NOT(ISNUMBER(U42)),"Missing or invalid target date",IF(U42&lt;=0,"Missing or invalid target date","OK"))))))))</x:f>
      </x:c>
      <x:c r="AE42" s="96" t="str">
        <x:f>IF(A42="","",IF(AND(OR(T42="Closed",T42="Accepted"),OR(AC42="",Z42&lt;&gt;"Evidence reviewed",AA42="",NOT(ISNUMBER(AB42)))),"Closure review needed",IF(OR(Y42="",Z42="",AA42="",NOT(ISNUMBER(AB42))),"Add assessment support",IF(AB42&lt;=0,"Add assessment support","Notes present"))))</x:f>
      </x:c>
    </x:row>
    <x:row r="43" ht="36" customHeight="1">
      <x:c r="A43" s="40"/>
      <x:c r="B43" s="40"/>
      <x:c r="C43" s="40"/>
      <x:c r="D43" s="40"/>
      <x:c r="E43" s="40"/>
      <x:c r="F43" s="40"/>
      <x:c r="G43" s="40"/>
      <x:c r="H43" s="40"/>
      <x:c r="I43" s="41" t="str">
        <x:f>IF(A43="","",IF(COUNT(G43,H43)&lt;&gt;2,"",IF(AND(G43&gt;=1,G43&lt;=5,H43&gt;=1,H43&lt;=5,MOD(G43,1)=0,MOD(H43,1)=0),G43*H43,"")))</x:f>
      </x:c>
      <x:c r="J43" s="41" t="str">
        <x:f>IF(A43="","",IF(ISNUMBER(I43),IF(I43&gt;=16,"Critical",IF(I43&gt;=10,"High",IF(I43&gt;=5,"Medium","Low"))),"Not assessed"))</x:f>
      </x:c>
      <x:c r="K43" s="40"/>
      <x:c r="L43" s="40"/>
      <x:c r="M43" s="40"/>
      <x:c r="N43" s="40"/>
      <x:c r="O43" s="41" t="str">
        <x:f>IF(A43="","",IF(COUNT(M43,N43)&lt;&gt;2,"",IF(AND(M43&gt;=1,M43&lt;=5,N43&gt;=1,N43&lt;=5,MOD(M43,1)=0,MOD(N43,1)=0),M43*N43,"")))</x:f>
      </x:c>
      <x:c r="P43" s="41" t="str">
        <x:f>IF(A43="","",IF(ISNUMBER(O43),IF(O43&gt;=16,"Critical",IF(O43&gt;=10,"High",IF(O43&gt;=5,"Medium","Low"))),"Not assessed"))</x:f>
      </x:c>
      <x:c r="Q43" s="40"/>
      <x:c r="R43" s="40"/>
      <x:c r="S43" s="40"/>
      <x:c r="T43" s="40"/>
      <x:c r="U43" s="42"/>
      <x:c r="V43" s="40"/>
      <x:c r="W43" s="40"/>
      <x:c r="X43" s="40"/>
      <x:c r="Y43" s="92"/>
      <x:c r="Z43" s="92"/>
      <x:c r="AA43" s="92"/>
      <x:c r="AB43" s="97"/>
      <x:c r="AC43" s="92"/>
      <x:c r="AD43" s="96" t="str">
        <x:f>IF(COUNTA(A43:H43,K43:N43,Q43:AC43)=0,"",IF(A43="","Missing ID",IF(COUNTIF($A$5:$A$104,A43)&gt;1,"Duplicate ID",IF(OR(C43="",D43="",E43="",F43=""),"Missing risk context",IF(OR(NOT(ISNUMBER(I43)),NOT(ISNUMBER(O43))),"Incomplete or invalid scores",IF(OR(Q43="",S43="",T43=""),"Missing treatment or owner",IF(NOT(ISNUMBER(U43)),"Missing or invalid target date",IF(U43&lt;=0,"Missing or invalid target date","OK"))))))))</x:f>
      </x:c>
      <x:c r="AE43" s="96" t="str">
        <x:f>IF(A43="","",IF(AND(OR(T43="Closed",T43="Accepted"),OR(AC43="",Z43&lt;&gt;"Evidence reviewed",AA43="",NOT(ISNUMBER(AB43)))),"Closure review needed",IF(OR(Y43="",Z43="",AA43="",NOT(ISNUMBER(AB43))),"Add assessment support",IF(AB43&lt;=0,"Add assessment support","Notes present"))))</x:f>
      </x:c>
    </x:row>
    <x:row r="44" ht="36" customHeight="1">
      <x:c r="A44" s="40"/>
      <x:c r="B44" s="40"/>
      <x:c r="C44" s="40"/>
      <x:c r="D44" s="40"/>
      <x:c r="E44" s="40"/>
      <x:c r="F44" s="40"/>
      <x:c r="G44" s="40"/>
      <x:c r="H44" s="40"/>
      <x:c r="I44" s="41" t="str">
        <x:f>IF(A44="","",IF(COUNT(G44,H44)&lt;&gt;2,"",IF(AND(G44&gt;=1,G44&lt;=5,H44&gt;=1,H44&lt;=5,MOD(G44,1)=0,MOD(H44,1)=0),G44*H44,"")))</x:f>
      </x:c>
      <x:c r="J44" s="41" t="str">
        <x:f>IF(A44="","",IF(ISNUMBER(I44),IF(I44&gt;=16,"Critical",IF(I44&gt;=10,"High",IF(I44&gt;=5,"Medium","Low"))),"Not assessed"))</x:f>
      </x:c>
      <x:c r="K44" s="40"/>
      <x:c r="L44" s="40"/>
      <x:c r="M44" s="40"/>
      <x:c r="N44" s="40"/>
      <x:c r="O44" s="41" t="str">
        <x:f>IF(A44="","",IF(COUNT(M44,N44)&lt;&gt;2,"",IF(AND(M44&gt;=1,M44&lt;=5,N44&gt;=1,N44&lt;=5,MOD(M44,1)=0,MOD(N44,1)=0),M44*N44,"")))</x:f>
      </x:c>
      <x:c r="P44" s="41" t="str">
        <x:f>IF(A44="","",IF(ISNUMBER(O44),IF(O44&gt;=16,"Critical",IF(O44&gt;=10,"High",IF(O44&gt;=5,"Medium","Low"))),"Not assessed"))</x:f>
      </x:c>
      <x:c r="Q44" s="40"/>
      <x:c r="R44" s="40"/>
      <x:c r="S44" s="40"/>
      <x:c r="T44" s="40"/>
      <x:c r="U44" s="42"/>
      <x:c r="V44" s="40"/>
      <x:c r="W44" s="40"/>
      <x:c r="X44" s="40"/>
      <x:c r="Y44" s="92"/>
      <x:c r="Z44" s="92"/>
      <x:c r="AA44" s="92"/>
      <x:c r="AB44" s="97"/>
      <x:c r="AC44" s="92"/>
      <x:c r="AD44" s="96" t="str">
        <x:f>IF(COUNTA(A44:H44,K44:N44,Q44:AC44)=0,"",IF(A44="","Missing ID",IF(COUNTIF($A$5:$A$104,A44)&gt;1,"Duplicate ID",IF(OR(C44="",D44="",E44="",F44=""),"Missing risk context",IF(OR(NOT(ISNUMBER(I44)),NOT(ISNUMBER(O44))),"Incomplete or invalid scores",IF(OR(Q44="",S44="",T44=""),"Missing treatment or owner",IF(NOT(ISNUMBER(U44)),"Missing or invalid target date",IF(U44&lt;=0,"Missing or invalid target date","OK"))))))))</x:f>
      </x:c>
      <x:c r="AE44" s="96" t="str">
        <x:f>IF(A44="","",IF(AND(OR(T44="Closed",T44="Accepted"),OR(AC44="",Z44&lt;&gt;"Evidence reviewed",AA44="",NOT(ISNUMBER(AB44)))),"Closure review needed",IF(OR(Y44="",Z44="",AA44="",NOT(ISNUMBER(AB44))),"Add assessment support",IF(AB44&lt;=0,"Add assessment support","Notes present"))))</x:f>
      </x:c>
    </x:row>
    <x:row r="45" ht="36" customHeight="1">
      <x:c r="A45" s="40"/>
      <x:c r="B45" s="40"/>
      <x:c r="C45" s="40"/>
      <x:c r="D45" s="40"/>
      <x:c r="E45" s="40"/>
      <x:c r="F45" s="40"/>
      <x:c r="G45" s="40"/>
      <x:c r="H45" s="40"/>
      <x:c r="I45" s="41" t="str">
        <x:f>IF(A45="","",IF(COUNT(G45,H45)&lt;&gt;2,"",IF(AND(G45&gt;=1,G45&lt;=5,H45&gt;=1,H45&lt;=5,MOD(G45,1)=0,MOD(H45,1)=0),G45*H45,"")))</x:f>
      </x:c>
      <x:c r="J45" s="41" t="str">
        <x:f>IF(A45="","",IF(ISNUMBER(I45),IF(I45&gt;=16,"Critical",IF(I45&gt;=10,"High",IF(I45&gt;=5,"Medium","Low"))),"Not assessed"))</x:f>
      </x:c>
      <x:c r="K45" s="40"/>
      <x:c r="L45" s="40"/>
      <x:c r="M45" s="40"/>
      <x:c r="N45" s="40"/>
      <x:c r="O45" s="41" t="str">
        <x:f>IF(A45="","",IF(COUNT(M45,N45)&lt;&gt;2,"",IF(AND(M45&gt;=1,M45&lt;=5,N45&gt;=1,N45&lt;=5,MOD(M45,1)=0,MOD(N45,1)=0),M45*N45,"")))</x:f>
      </x:c>
      <x:c r="P45" s="41" t="str">
        <x:f>IF(A45="","",IF(ISNUMBER(O45),IF(O45&gt;=16,"Critical",IF(O45&gt;=10,"High",IF(O45&gt;=5,"Medium","Low"))),"Not assessed"))</x:f>
      </x:c>
      <x:c r="Q45" s="40"/>
      <x:c r="R45" s="40"/>
      <x:c r="S45" s="40"/>
      <x:c r="T45" s="40"/>
      <x:c r="U45" s="42"/>
      <x:c r="V45" s="40"/>
      <x:c r="W45" s="40"/>
      <x:c r="X45" s="40"/>
      <x:c r="Y45" s="92"/>
      <x:c r="Z45" s="92"/>
      <x:c r="AA45" s="92"/>
      <x:c r="AB45" s="97"/>
      <x:c r="AC45" s="92"/>
      <x:c r="AD45" s="96" t="str">
        <x:f>IF(COUNTA(A45:H45,K45:N45,Q45:AC45)=0,"",IF(A45="","Missing ID",IF(COUNTIF($A$5:$A$104,A45)&gt;1,"Duplicate ID",IF(OR(C45="",D45="",E45="",F45=""),"Missing risk context",IF(OR(NOT(ISNUMBER(I45)),NOT(ISNUMBER(O45))),"Incomplete or invalid scores",IF(OR(Q45="",S45="",T45=""),"Missing treatment or owner",IF(NOT(ISNUMBER(U45)),"Missing or invalid target date",IF(U45&lt;=0,"Missing or invalid target date","OK"))))))))</x:f>
      </x:c>
      <x:c r="AE45" s="96" t="str">
        <x:f>IF(A45="","",IF(AND(OR(T45="Closed",T45="Accepted"),OR(AC45="",Z45&lt;&gt;"Evidence reviewed",AA45="",NOT(ISNUMBER(AB45)))),"Closure review needed",IF(OR(Y45="",Z45="",AA45="",NOT(ISNUMBER(AB45))),"Add assessment support",IF(AB45&lt;=0,"Add assessment support","Notes present"))))</x:f>
      </x:c>
    </x:row>
    <x:row r="46" ht="36" customHeight="1">
      <x:c r="A46" s="40"/>
      <x:c r="B46" s="40"/>
      <x:c r="C46" s="40"/>
      <x:c r="D46" s="40"/>
      <x:c r="E46" s="40"/>
      <x:c r="F46" s="40"/>
      <x:c r="G46" s="40"/>
      <x:c r="H46" s="40"/>
      <x:c r="I46" s="41" t="str">
        <x:f>IF(A46="","",IF(COUNT(G46,H46)&lt;&gt;2,"",IF(AND(G46&gt;=1,G46&lt;=5,H46&gt;=1,H46&lt;=5,MOD(G46,1)=0,MOD(H46,1)=0),G46*H46,"")))</x:f>
      </x:c>
      <x:c r="J46" s="41" t="str">
        <x:f>IF(A46="","",IF(ISNUMBER(I46),IF(I46&gt;=16,"Critical",IF(I46&gt;=10,"High",IF(I46&gt;=5,"Medium","Low"))),"Not assessed"))</x:f>
      </x:c>
      <x:c r="K46" s="40"/>
      <x:c r="L46" s="40"/>
      <x:c r="M46" s="40"/>
      <x:c r="N46" s="40"/>
      <x:c r="O46" s="41" t="str">
        <x:f>IF(A46="","",IF(COUNT(M46,N46)&lt;&gt;2,"",IF(AND(M46&gt;=1,M46&lt;=5,N46&gt;=1,N46&lt;=5,MOD(M46,1)=0,MOD(N46,1)=0),M46*N46,"")))</x:f>
      </x:c>
      <x:c r="P46" s="41" t="str">
        <x:f>IF(A46="","",IF(ISNUMBER(O46),IF(O46&gt;=16,"Critical",IF(O46&gt;=10,"High",IF(O46&gt;=5,"Medium","Low"))),"Not assessed"))</x:f>
      </x:c>
      <x:c r="Q46" s="40"/>
      <x:c r="R46" s="40"/>
      <x:c r="S46" s="40"/>
      <x:c r="T46" s="40"/>
      <x:c r="U46" s="42"/>
      <x:c r="V46" s="40"/>
      <x:c r="W46" s="40"/>
      <x:c r="X46" s="40"/>
      <x:c r="Y46" s="92"/>
      <x:c r="Z46" s="92"/>
      <x:c r="AA46" s="92"/>
      <x:c r="AB46" s="97"/>
      <x:c r="AC46" s="92"/>
      <x:c r="AD46" s="96" t="str">
        <x:f>IF(COUNTA(A46:H46,K46:N46,Q46:AC46)=0,"",IF(A46="","Missing ID",IF(COUNTIF($A$5:$A$104,A46)&gt;1,"Duplicate ID",IF(OR(C46="",D46="",E46="",F46=""),"Missing risk context",IF(OR(NOT(ISNUMBER(I46)),NOT(ISNUMBER(O46))),"Incomplete or invalid scores",IF(OR(Q46="",S46="",T46=""),"Missing treatment or owner",IF(NOT(ISNUMBER(U46)),"Missing or invalid target date",IF(U46&lt;=0,"Missing or invalid target date","OK"))))))))</x:f>
      </x:c>
      <x:c r="AE46" s="96" t="str">
        <x:f>IF(A46="","",IF(AND(OR(T46="Closed",T46="Accepted"),OR(AC46="",Z46&lt;&gt;"Evidence reviewed",AA46="",NOT(ISNUMBER(AB46)))),"Closure review needed",IF(OR(Y46="",Z46="",AA46="",NOT(ISNUMBER(AB46))),"Add assessment support",IF(AB46&lt;=0,"Add assessment support","Notes present"))))</x:f>
      </x:c>
    </x:row>
    <x:row r="47" ht="36" customHeight="1">
      <x:c r="A47" s="40"/>
      <x:c r="B47" s="40"/>
      <x:c r="C47" s="40"/>
      <x:c r="D47" s="40"/>
      <x:c r="E47" s="40"/>
      <x:c r="F47" s="40"/>
      <x:c r="G47" s="40"/>
      <x:c r="H47" s="40"/>
      <x:c r="I47" s="41" t="str">
        <x:f>IF(A47="","",IF(COUNT(G47,H47)&lt;&gt;2,"",IF(AND(G47&gt;=1,G47&lt;=5,H47&gt;=1,H47&lt;=5,MOD(G47,1)=0,MOD(H47,1)=0),G47*H47,"")))</x:f>
      </x:c>
      <x:c r="J47" s="41" t="str">
        <x:f>IF(A47="","",IF(ISNUMBER(I47),IF(I47&gt;=16,"Critical",IF(I47&gt;=10,"High",IF(I47&gt;=5,"Medium","Low"))),"Not assessed"))</x:f>
      </x:c>
      <x:c r="K47" s="40"/>
      <x:c r="L47" s="40"/>
      <x:c r="M47" s="40"/>
      <x:c r="N47" s="40"/>
      <x:c r="O47" s="41" t="str">
        <x:f>IF(A47="","",IF(COUNT(M47,N47)&lt;&gt;2,"",IF(AND(M47&gt;=1,M47&lt;=5,N47&gt;=1,N47&lt;=5,MOD(M47,1)=0,MOD(N47,1)=0),M47*N47,"")))</x:f>
      </x:c>
      <x:c r="P47" s="41" t="str">
        <x:f>IF(A47="","",IF(ISNUMBER(O47),IF(O47&gt;=16,"Critical",IF(O47&gt;=10,"High",IF(O47&gt;=5,"Medium","Low"))),"Not assessed"))</x:f>
      </x:c>
      <x:c r="Q47" s="40"/>
      <x:c r="R47" s="40"/>
      <x:c r="S47" s="40"/>
      <x:c r="T47" s="40"/>
      <x:c r="U47" s="42"/>
      <x:c r="V47" s="40"/>
      <x:c r="W47" s="40"/>
      <x:c r="X47" s="40"/>
      <x:c r="Y47" s="92"/>
      <x:c r="Z47" s="92"/>
      <x:c r="AA47" s="92"/>
      <x:c r="AB47" s="97"/>
      <x:c r="AC47" s="92"/>
      <x:c r="AD47" s="96" t="str">
        <x:f>IF(COUNTA(A47:H47,K47:N47,Q47:AC47)=0,"",IF(A47="","Missing ID",IF(COUNTIF($A$5:$A$104,A47)&gt;1,"Duplicate ID",IF(OR(C47="",D47="",E47="",F47=""),"Missing risk context",IF(OR(NOT(ISNUMBER(I47)),NOT(ISNUMBER(O47))),"Incomplete or invalid scores",IF(OR(Q47="",S47="",T47=""),"Missing treatment or owner",IF(NOT(ISNUMBER(U47)),"Missing or invalid target date",IF(U47&lt;=0,"Missing or invalid target date","OK"))))))))</x:f>
      </x:c>
      <x:c r="AE47" s="96" t="str">
        <x:f>IF(A47="","",IF(AND(OR(T47="Closed",T47="Accepted"),OR(AC47="",Z47&lt;&gt;"Evidence reviewed",AA47="",NOT(ISNUMBER(AB47)))),"Closure review needed",IF(OR(Y47="",Z47="",AA47="",NOT(ISNUMBER(AB47))),"Add assessment support",IF(AB47&lt;=0,"Add assessment support","Notes present"))))</x:f>
      </x:c>
    </x:row>
    <x:row r="48" ht="36" customHeight="1">
      <x:c r="A48" s="40"/>
      <x:c r="B48" s="40"/>
      <x:c r="C48" s="40"/>
      <x:c r="D48" s="40"/>
      <x:c r="E48" s="40"/>
      <x:c r="F48" s="40"/>
      <x:c r="G48" s="40"/>
      <x:c r="H48" s="40"/>
      <x:c r="I48" s="41" t="str">
        <x:f>IF(A48="","",IF(COUNT(G48,H48)&lt;&gt;2,"",IF(AND(G48&gt;=1,G48&lt;=5,H48&gt;=1,H48&lt;=5,MOD(G48,1)=0,MOD(H48,1)=0),G48*H48,"")))</x:f>
      </x:c>
      <x:c r="J48" s="41" t="str">
        <x:f>IF(A48="","",IF(ISNUMBER(I48),IF(I48&gt;=16,"Critical",IF(I48&gt;=10,"High",IF(I48&gt;=5,"Medium","Low"))),"Not assessed"))</x:f>
      </x:c>
      <x:c r="K48" s="40"/>
      <x:c r="L48" s="40"/>
      <x:c r="M48" s="40"/>
      <x:c r="N48" s="40"/>
      <x:c r="O48" s="41" t="str">
        <x:f>IF(A48="","",IF(COUNT(M48,N48)&lt;&gt;2,"",IF(AND(M48&gt;=1,M48&lt;=5,N48&gt;=1,N48&lt;=5,MOD(M48,1)=0,MOD(N48,1)=0),M48*N48,"")))</x:f>
      </x:c>
      <x:c r="P48" s="41" t="str">
        <x:f>IF(A48="","",IF(ISNUMBER(O48),IF(O48&gt;=16,"Critical",IF(O48&gt;=10,"High",IF(O48&gt;=5,"Medium","Low"))),"Not assessed"))</x:f>
      </x:c>
      <x:c r="Q48" s="40"/>
      <x:c r="R48" s="40"/>
      <x:c r="S48" s="40"/>
      <x:c r="T48" s="40"/>
      <x:c r="U48" s="42"/>
      <x:c r="V48" s="40"/>
      <x:c r="W48" s="40"/>
      <x:c r="X48" s="40"/>
      <x:c r="Y48" s="92"/>
      <x:c r="Z48" s="92"/>
      <x:c r="AA48" s="92"/>
      <x:c r="AB48" s="97"/>
      <x:c r="AC48" s="92"/>
      <x:c r="AD48" s="96" t="str">
        <x:f>IF(COUNTA(A48:H48,K48:N48,Q48:AC48)=0,"",IF(A48="","Missing ID",IF(COUNTIF($A$5:$A$104,A48)&gt;1,"Duplicate ID",IF(OR(C48="",D48="",E48="",F48=""),"Missing risk context",IF(OR(NOT(ISNUMBER(I48)),NOT(ISNUMBER(O48))),"Incomplete or invalid scores",IF(OR(Q48="",S48="",T48=""),"Missing treatment or owner",IF(NOT(ISNUMBER(U48)),"Missing or invalid target date",IF(U48&lt;=0,"Missing or invalid target date","OK"))))))))</x:f>
      </x:c>
      <x:c r="AE48" s="96" t="str">
        <x:f>IF(A48="","",IF(AND(OR(T48="Closed",T48="Accepted"),OR(AC48="",Z48&lt;&gt;"Evidence reviewed",AA48="",NOT(ISNUMBER(AB48)))),"Closure review needed",IF(OR(Y48="",Z48="",AA48="",NOT(ISNUMBER(AB48))),"Add assessment support",IF(AB48&lt;=0,"Add assessment support","Notes present"))))</x:f>
      </x:c>
    </x:row>
    <x:row r="49" ht="36" customHeight="1">
      <x:c r="A49" s="40"/>
      <x:c r="B49" s="40"/>
      <x:c r="C49" s="40"/>
      <x:c r="D49" s="40"/>
      <x:c r="E49" s="40"/>
      <x:c r="F49" s="40"/>
      <x:c r="G49" s="40"/>
      <x:c r="H49" s="40"/>
      <x:c r="I49" s="41" t="str">
        <x:f>IF(A49="","",IF(COUNT(G49,H49)&lt;&gt;2,"",IF(AND(G49&gt;=1,G49&lt;=5,H49&gt;=1,H49&lt;=5,MOD(G49,1)=0,MOD(H49,1)=0),G49*H49,"")))</x:f>
      </x:c>
      <x:c r="J49" s="41" t="str">
        <x:f>IF(A49="","",IF(ISNUMBER(I49),IF(I49&gt;=16,"Critical",IF(I49&gt;=10,"High",IF(I49&gt;=5,"Medium","Low"))),"Not assessed"))</x:f>
      </x:c>
      <x:c r="K49" s="40"/>
      <x:c r="L49" s="40"/>
      <x:c r="M49" s="40"/>
      <x:c r="N49" s="40"/>
      <x:c r="O49" s="41" t="str">
        <x:f>IF(A49="","",IF(COUNT(M49,N49)&lt;&gt;2,"",IF(AND(M49&gt;=1,M49&lt;=5,N49&gt;=1,N49&lt;=5,MOD(M49,1)=0,MOD(N49,1)=0),M49*N49,"")))</x:f>
      </x:c>
      <x:c r="P49" s="41" t="str">
        <x:f>IF(A49="","",IF(ISNUMBER(O49),IF(O49&gt;=16,"Critical",IF(O49&gt;=10,"High",IF(O49&gt;=5,"Medium","Low"))),"Not assessed"))</x:f>
      </x:c>
      <x:c r="Q49" s="40"/>
      <x:c r="R49" s="40"/>
      <x:c r="S49" s="40"/>
      <x:c r="T49" s="40"/>
      <x:c r="U49" s="42"/>
      <x:c r="V49" s="40"/>
      <x:c r="W49" s="40"/>
      <x:c r="X49" s="40"/>
      <x:c r="Y49" s="92"/>
      <x:c r="Z49" s="92"/>
      <x:c r="AA49" s="92"/>
      <x:c r="AB49" s="97"/>
      <x:c r="AC49" s="92"/>
      <x:c r="AD49" s="96" t="str">
        <x:f>IF(COUNTA(A49:H49,K49:N49,Q49:AC49)=0,"",IF(A49="","Missing ID",IF(COUNTIF($A$5:$A$104,A49)&gt;1,"Duplicate ID",IF(OR(C49="",D49="",E49="",F49=""),"Missing risk context",IF(OR(NOT(ISNUMBER(I49)),NOT(ISNUMBER(O49))),"Incomplete or invalid scores",IF(OR(Q49="",S49="",T49=""),"Missing treatment or owner",IF(NOT(ISNUMBER(U49)),"Missing or invalid target date",IF(U49&lt;=0,"Missing or invalid target date","OK"))))))))</x:f>
      </x:c>
      <x:c r="AE49" s="96" t="str">
        <x:f>IF(A49="","",IF(AND(OR(T49="Closed",T49="Accepted"),OR(AC49="",Z49&lt;&gt;"Evidence reviewed",AA49="",NOT(ISNUMBER(AB49)))),"Closure review needed",IF(OR(Y49="",Z49="",AA49="",NOT(ISNUMBER(AB49))),"Add assessment support",IF(AB49&lt;=0,"Add assessment support","Notes present"))))</x:f>
      </x:c>
    </x:row>
    <x:row r="50" ht="36" customHeight="1">
      <x:c r="A50" s="40"/>
      <x:c r="B50" s="40"/>
      <x:c r="C50" s="40"/>
      <x:c r="D50" s="40"/>
      <x:c r="E50" s="40"/>
      <x:c r="F50" s="40"/>
      <x:c r="G50" s="40"/>
      <x:c r="H50" s="40"/>
      <x:c r="I50" s="41" t="str">
        <x:f>IF(A50="","",IF(COUNT(G50,H50)&lt;&gt;2,"",IF(AND(G50&gt;=1,G50&lt;=5,H50&gt;=1,H50&lt;=5,MOD(G50,1)=0,MOD(H50,1)=0),G50*H50,"")))</x:f>
      </x:c>
      <x:c r="J50" s="41" t="str">
        <x:f>IF(A50="","",IF(ISNUMBER(I50),IF(I50&gt;=16,"Critical",IF(I50&gt;=10,"High",IF(I50&gt;=5,"Medium","Low"))),"Not assessed"))</x:f>
      </x:c>
      <x:c r="K50" s="40"/>
      <x:c r="L50" s="40"/>
      <x:c r="M50" s="40"/>
      <x:c r="N50" s="40"/>
      <x:c r="O50" s="41" t="str">
        <x:f>IF(A50="","",IF(COUNT(M50,N50)&lt;&gt;2,"",IF(AND(M50&gt;=1,M50&lt;=5,N50&gt;=1,N50&lt;=5,MOD(M50,1)=0,MOD(N50,1)=0),M50*N50,"")))</x:f>
      </x:c>
      <x:c r="P50" s="41" t="str">
        <x:f>IF(A50="","",IF(ISNUMBER(O50),IF(O50&gt;=16,"Critical",IF(O50&gt;=10,"High",IF(O50&gt;=5,"Medium","Low"))),"Not assessed"))</x:f>
      </x:c>
      <x:c r="Q50" s="40"/>
      <x:c r="R50" s="40"/>
      <x:c r="S50" s="40"/>
      <x:c r="T50" s="40"/>
      <x:c r="U50" s="42"/>
      <x:c r="V50" s="40"/>
      <x:c r="W50" s="40"/>
      <x:c r="X50" s="40"/>
      <x:c r="Y50" s="92"/>
      <x:c r="Z50" s="92"/>
      <x:c r="AA50" s="92"/>
      <x:c r="AB50" s="97"/>
      <x:c r="AC50" s="92"/>
      <x:c r="AD50" s="96" t="str">
        <x:f>IF(COUNTA(A50:H50,K50:N50,Q50:AC50)=0,"",IF(A50="","Missing ID",IF(COUNTIF($A$5:$A$104,A50)&gt;1,"Duplicate ID",IF(OR(C50="",D50="",E50="",F50=""),"Missing risk context",IF(OR(NOT(ISNUMBER(I50)),NOT(ISNUMBER(O50))),"Incomplete or invalid scores",IF(OR(Q50="",S50="",T50=""),"Missing treatment or owner",IF(NOT(ISNUMBER(U50)),"Missing or invalid target date",IF(U50&lt;=0,"Missing or invalid target date","OK"))))))))</x:f>
      </x:c>
      <x:c r="AE50" s="96" t="str">
        <x:f>IF(A50="","",IF(AND(OR(T50="Closed",T50="Accepted"),OR(AC50="",Z50&lt;&gt;"Evidence reviewed",AA50="",NOT(ISNUMBER(AB50)))),"Closure review needed",IF(OR(Y50="",Z50="",AA50="",NOT(ISNUMBER(AB50))),"Add assessment support",IF(AB50&lt;=0,"Add assessment support","Notes present"))))</x:f>
      </x:c>
    </x:row>
    <x:row r="51" ht="36" customHeight="1">
      <x:c r="A51" s="40"/>
      <x:c r="B51" s="40"/>
      <x:c r="C51" s="40"/>
      <x:c r="D51" s="40"/>
      <x:c r="E51" s="40"/>
      <x:c r="F51" s="40"/>
      <x:c r="G51" s="40"/>
      <x:c r="H51" s="40"/>
      <x:c r="I51" s="41" t="str">
        <x:f>IF(A51="","",IF(COUNT(G51,H51)&lt;&gt;2,"",IF(AND(G51&gt;=1,G51&lt;=5,H51&gt;=1,H51&lt;=5,MOD(G51,1)=0,MOD(H51,1)=0),G51*H51,"")))</x:f>
      </x:c>
      <x:c r="J51" s="41" t="str">
        <x:f>IF(A51="","",IF(ISNUMBER(I51),IF(I51&gt;=16,"Critical",IF(I51&gt;=10,"High",IF(I51&gt;=5,"Medium","Low"))),"Not assessed"))</x:f>
      </x:c>
      <x:c r="K51" s="40"/>
      <x:c r="L51" s="40"/>
      <x:c r="M51" s="40"/>
      <x:c r="N51" s="40"/>
      <x:c r="O51" s="41" t="str">
        <x:f>IF(A51="","",IF(COUNT(M51,N51)&lt;&gt;2,"",IF(AND(M51&gt;=1,M51&lt;=5,N51&gt;=1,N51&lt;=5,MOD(M51,1)=0,MOD(N51,1)=0),M51*N51,"")))</x:f>
      </x:c>
      <x:c r="P51" s="41" t="str">
        <x:f>IF(A51="","",IF(ISNUMBER(O51),IF(O51&gt;=16,"Critical",IF(O51&gt;=10,"High",IF(O51&gt;=5,"Medium","Low"))),"Not assessed"))</x:f>
      </x:c>
      <x:c r="Q51" s="40"/>
      <x:c r="R51" s="40"/>
      <x:c r="S51" s="40"/>
      <x:c r="T51" s="40"/>
      <x:c r="U51" s="42"/>
      <x:c r="V51" s="40"/>
      <x:c r="W51" s="40"/>
      <x:c r="X51" s="40"/>
      <x:c r="Y51" s="92"/>
      <x:c r="Z51" s="92"/>
      <x:c r="AA51" s="92"/>
      <x:c r="AB51" s="97"/>
      <x:c r="AC51" s="92"/>
      <x:c r="AD51" s="96" t="str">
        <x:f>IF(COUNTA(A51:H51,K51:N51,Q51:AC51)=0,"",IF(A51="","Missing ID",IF(COUNTIF($A$5:$A$104,A51)&gt;1,"Duplicate ID",IF(OR(C51="",D51="",E51="",F51=""),"Missing risk context",IF(OR(NOT(ISNUMBER(I51)),NOT(ISNUMBER(O51))),"Incomplete or invalid scores",IF(OR(Q51="",S51="",T51=""),"Missing treatment or owner",IF(NOT(ISNUMBER(U51)),"Missing or invalid target date",IF(U51&lt;=0,"Missing or invalid target date","OK"))))))))</x:f>
      </x:c>
      <x:c r="AE51" s="96" t="str">
        <x:f>IF(A51="","",IF(AND(OR(T51="Closed",T51="Accepted"),OR(AC51="",Z51&lt;&gt;"Evidence reviewed",AA51="",NOT(ISNUMBER(AB51)))),"Closure review needed",IF(OR(Y51="",Z51="",AA51="",NOT(ISNUMBER(AB51))),"Add assessment support",IF(AB51&lt;=0,"Add assessment support","Notes present"))))</x:f>
      </x:c>
    </x:row>
    <x:row r="52" ht="36" customHeight="1">
      <x:c r="A52" s="40"/>
      <x:c r="B52" s="40"/>
      <x:c r="C52" s="40"/>
      <x:c r="D52" s="40"/>
      <x:c r="E52" s="40"/>
      <x:c r="F52" s="40"/>
      <x:c r="G52" s="40"/>
      <x:c r="H52" s="40"/>
      <x:c r="I52" s="41" t="str">
        <x:f>IF(A52="","",IF(COUNT(G52,H52)&lt;&gt;2,"",IF(AND(G52&gt;=1,G52&lt;=5,H52&gt;=1,H52&lt;=5,MOD(G52,1)=0,MOD(H52,1)=0),G52*H52,"")))</x:f>
      </x:c>
      <x:c r="J52" s="41" t="str">
        <x:f>IF(A52="","",IF(ISNUMBER(I52),IF(I52&gt;=16,"Critical",IF(I52&gt;=10,"High",IF(I52&gt;=5,"Medium","Low"))),"Not assessed"))</x:f>
      </x:c>
      <x:c r="K52" s="40"/>
      <x:c r="L52" s="40"/>
      <x:c r="M52" s="40"/>
      <x:c r="N52" s="40"/>
      <x:c r="O52" s="41" t="str">
        <x:f>IF(A52="","",IF(COUNT(M52,N52)&lt;&gt;2,"",IF(AND(M52&gt;=1,M52&lt;=5,N52&gt;=1,N52&lt;=5,MOD(M52,1)=0,MOD(N52,1)=0),M52*N52,"")))</x:f>
      </x:c>
      <x:c r="P52" s="41" t="str">
        <x:f>IF(A52="","",IF(ISNUMBER(O52),IF(O52&gt;=16,"Critical",IF(O52&gt;=10,"High",IF(O52&gt;=5,"Medium","Low"))),"Not assessed"))</x:f>
      </x:c>
      <x:c r="Q52" s="40"/>
      <x:c r="R52" s="40"/>
      <x:c r="S52" s="40"/>
      <x:c r="T52" s="40"/>
      <x:c r="U52" s="42"/>
      <x:c r="V52" s="40"/>
      <x:c r="W52" s="40"/>
      <x:c r="X52" s="40"/>
      <x:c r="Y52" s="92"/>
      <x:c r="Z52" s="92"/>
      <x:c r="AA52" s="92"/>
      <x:c r="AB52" s="97"/>
      <x:c r="AC52" s="92"/>
      <x:c r="AD52" s="96" t="str">
        <x:f>IF(COUNTA(A52:H52,K52:N52,Q52:AC52)=0,"",IF(A52="","Missing ID",IF(COUNTIF($A$5:$A$104,A52)&gt;1,"Duplicate ID",IF(OR(C52="",D52="",E52="",F52=""),"Missing risk context",IF(OR(NOT(ISNUMBER(I52)),NOT(ISNUMBER(O52))),"Incomplete or invalid scores",IF(OR(Q52="",S52="",T52=""),"Missing treatment or owner",IF(NOT(ISNUMBER(U52)),"Missing or invalid target date",IF(U52&lt;=0,"Missing or invalid target date","OK"))))))))</x:f>
      </x:c>
      <x:c r="AE52" s="96" t="str">
        <x:f>IF(A52="","",IF(AND(OR(T52="Closed",T52="Accepted"),OR(AC52="",Z52&lt;&gt;"Evidence reviewed",AA52="",NOT(ISNUMBER(AB52)))),"Closure review needed",IF(OR(Y52="",Z52="",AA52="",NOT(ISNUMBER(AB52))),"Add assessment support",IF(AB52&lt;=0,"Add assessment support","Notes present"))))</x:f>
      </x:c>
    </x:row>
    <x:row r="53" ht="36" customHeight="1">
      <x:c r="A53" s="40"/>
      <x:c r="B53" s="40"/>
      <x:c r="C53" s="40"/>
      <x:c r="D53" s="40"/>
      <x:c r="E53" s="40"/>
      <x:c r="F53" s="40"/>
      <x:c r="G53" s="40"/>
      <x:c r="H53" s="40"/>
      <x:c r="I53" s="41" t="str">
        <x:f>IF(A53="","",IF(COUNT(G53,H53)&lt;&gt;2,"",IF(AND(G53&gt;=1,G53&lt;=5,H53&gt;=1,H53&lt;=5,MOD(G53,1)=0,MOD(H53,1)=0),G53*H53,"")))</x:f>
      </x:c>
      <x:c r="J53" s="41" t="str">
        <x:f>IF(A53="","",IF(ISNUMBER(I53),IF(I53&gt;=16,"Critical",IF(I53&gt;=10,"High",IF(I53&gt;=5,"Medium","Low"))),"Not assessed"))</x:f>
      </x:c>
      <x:c r="K53" s="40"/>
      <x:c r="L53" s="40"/>
      <x:c r="M53" s="40"/>
      <x:c r="N53" s="40"/>
      <x:c r="O53" s="41" t="str">
        <x:f>IF(A53="","",IF(COUNT(M53,N53)&lt;&gt;2,"",IF(AND(M53&gt;=1,M53&lt;=5,N53&gt;=1,N53&lt;=5,MOD(M53,1)=0,MOD(N53,1)=0),M53*N53,"")))</x:f>
      </x:c>
      <x:c r="P53" s="41" t="str">
        <x:f>IF(A53="","",IF(ISNUMBER(O53),IF(O53&gt;=16,"Critical",IF(O53&gt;=10,"High",IF(O53&gt;=5,"Medium","Low"))),"Not assessed"))</x:f>
      </x:c>
      <x:c r="Q53" s="40"/>
      <x:c r="R53" s="40"/>
      <x:c r="S53" s="40"/>
      <x:c r="T53" s="40"/>
      <x:c r="U53" s="42"/>
      <x:c r="V53" s="40"/>
      <x:c r="W53" s="40"/>
      <x:c r="X53" s="40"/>
      <x:c r="Y53" s="92"/>
      <x:c r="Z53" s="92"/>
      <x:c r="AA53" s="92"/>
      <x:c r="AB53" s="97"/>
      <x:c r="AC53" s="92"/>
      <x:c r="AD53" s="96" t="str">
        <x:f>IF(COUNTA(A53:H53,K53:N53,Q53:AC53)=0,"",IF(A53="","Missing ID",IF(COUNTIF($A$5:$A$104,A53)&gt;1,"Duplicate ID",IF(OR(C53="",D53="",E53="",F53=""),"Missing risk context",IF(OR(NOT(ISNUMBER(I53)),NOT(ISNUMBER(O53))),"Incomplete or invalid scores",IF(OR(Q53="",S53="",T53=""),"Missing treatment or owner",IF(NOT(ISNUMBER(U53)),"Missing or invalid target date",IF(U53&lt;=0,"Missing or invalid target date","OK"))))))))</x:f>
      </x:c>
      <x:c r="AE53" s="96" t="str">
        <x:f>IF(A53="","",IF(AND(OR(T53="Closed",T53="Accepted"),OR(AC53="",Z53&lt;&gt;"Evidence reviewed",AA53="",NOT(ISNUMBER(AB53)))),"Closure review needed",IF(OR(Y53="",Z53="",AA53="",NOT(ISNUMBER(AB53))),"Add assessment support",IF(AB53&lt;=0,"Add assessment support","Notes present"))))</x:f>
      </x:c>
    </x:row>
    <x:row r="54" ht="36" customHeight="1">
      <x:c r="A54" s="40"/>
      <x:c r="B54" s="40"/>
      <x:c r="C54" s="40"/>
      <x:c r="D54" s="40"/>
      <x:c r="E54" s="40"/>
      <x:c r="F54" s="40"/>
      <x:c r="G54" s="40"/>
      <x:c r="H54" s="40"/>
      <x:c r="I54" s="41" t="str">
        <x:f>IF(A54="","",IF(COUNT(G54,H54)&lt;&gt;2,"",IF(AND(G54&gt;=1,G54&lt;=5,H54&gt;=1,H54&lt;=5,MOD(G54,1)=0,MOD(H54,1)=0),G54*H54,"")))</x:f>
      </x:c>
      <x:c r="J54" s="41" t="str">
        <x:f>IF(A54="","",IF(ISNUMBER(I54),IF(I54&gt;=16,"Critical",IF(I54&gt;=10,"High",IF(I54&gt;=5,"Medium","Low"))),"Not assessed"))</x:f>
      </x:c>
      <x:c r="K54" s="40"/>
      <x:c r="L54" s="40"/>
      <x:c r="M54" s="40"/>
      <x:c r="N54" s="40"/>
      <x:c r="O54" s="41" t="str">
        <x:f>IF(A54="","",IF(COUNT(M54,N54)&lt;&gt;2,"",IF(AND(M54&gt;=1,M54&lt;=5,N54&gt;=1,N54&lt;=5,MOD(M54,1)=0,MOD(N54,1)=0),M54*N54,"")))</x:f>
      </x:c>
      <x:c r="P54" s="41" t="str">
        <x:f>IF(A54="","",IF(ISNUMBER(O54),IF(O54&gt;=16,"Critical",IF(O54&gt;=10,"High",IF(O54&gt;=5,"Medium","Low"))),"Not assessed"))</x:f>
      </x:c>
      <x:c r="Q54" s="40"/>
      <x:c r="R54" s="40"/>
      <x:c r="S54" s="40"/>
      <x:c r="T54" s="40"/>
      <x:c r="U54" s="42"/>
      <x:c r="V54" s="40"/>
      <x:c r="W54" s="40"/>
      <x:c r="X54" s="40"/>
      <x:c r="Y54" s="92"/>
      <x:c r="Z54" s="92"/>
      <x:c r="AA54" s="92"/>
      <x:c r="AB54" s="97"/>
      <x:c r="AC54" s="92"/>
      <x:c r="AD54" s="96" t="str">
        <x:f>IF(COUNTA(A54:H54,K54:N54,Q54:AC54)=0,"",IF(A54="","Missing ID",IF(COUNTIF($A$5:$A$104,A54)&gt;1,"Duplicate ID",IF(OR(C54="",D54="",E54="",F54=""),"Missing risk context",IF(OR(NOT(ISNUMBER(I54)),NOT(ISNUMBER(O54))),"Incomplete or invalid scores",IF(OR(Q54="",S54="",T54=""),"Missing treatment or owner",IF(NOT(ISNUMBER(U54)),"Missing or invalid target date",IF(U54&lt;=0,"Missing or invalid target date","OK"))))))))</x:f>
      </x:c>
      <x:c r="AE54" s="96" t="str">
        <x:f>IF(A54="","",IF(AND(OR(T54="Closed",T54="Accepted"),OR(AC54="",Z54&lt;&gt;"Evidence reviewed",AA54="",NOT(ISNUMBER(AB54)))),"Closure review needed",IF(OR(Y54="",Z54="",AA54="",NOT(ISNUMBER(AB54))),"Add assessment support",IF(AB54&lt;=0,"Add assessment support","Notes present"))))</x:f>
      </x:c>
    </x:row>
    <x:row r="55" ht="36" customHeight="1">
      <x:c r="A55" s="40"/>
      <x:c r="B55" s="40"/>
      <x:c r="C55" s="40"/>
      <x:c r="D55" s="40"/>
      <x:c r="E55" s="40"/>
      <x:c r="F55" s="40"/>
      <x:c r="G55" s="40"/>
      <x:c r="H55" s="40"/>
      <x:c r="I55" s="41" t="str">
        <x:f>IF(A55="","",IF(COUNT(G55,H55)&lt;&gt;2,"",IF(AND(G55&gt;=1,G55&lt;=5,H55&gt;=1,H55&lt;=5,MOD(G55,1)=0,MOD(H55,1)=0),G55*H55,"")))</x:f>
      </x:c>
      <x:c r="J55" s="41" t="str">
        <x:f>IF(A55="","",IF(ISNUMBER(I55),IF(I55&gt;=16,"Critical",IF(I55&gt;=10,"High",IF(I55&gt;=5,"Medium","Low"))),"Not assessed"))</x:f>
      </x:c>
      <x:c r="K55" s="40"/>
      <x:c r="L55" s="40"/>
      <x:c r="M55" s="40"/>
      <x:c r="N55" s="40"/>
      <x:c r="O55" s="41" t="str">
        <x:f>IF(A55="","",IF(COUNT(M55,N55)&lt;&gt;2,"",IF(AND(M55&gt;=1,M55&lt;=5,N55&gt;=1,N55&lt;=5,MOD(M55,1)=0,MOD(N55,1)=0),M55*N55,"")))</x:f>
      </x:c>
      <x:c r="P55" s="41" t="str">
        <x:f>IF(A55="","",IF(ISNUMBER(O55),IF(O55&gt;=16,"Critical",IF(O55&gt;=10,"High",IF(O55&gt;=5,"Medium","Low"))),"Not assessed"))</x:f>
      </x:c>
      <x:c r="Q55" s="40"/>
      <x:c r="R55" s="40"/>
      <x:c r="S55" s="40"/>
      <x:c r="T55" s="40"/>
      <x:c r="U55" s="42"/>
      <x:c r="V55" s="40"/>
      <x:c r="W55" s="40"/>
      <x:c r="X55" s="40"/>
      <x:c r="Y55" s="92"/>
      <x:c r="Z55" s="92"/>
      <x:c r="AA55" s="92"/>
      <x:c r="AB55" s="97"/>
      <x:c r="AC55" s="92"/>
      <x:c r="AD55" s="96" t="str">
        <x:f>IF(COUNTA(A55:H55,K55:N55,Q55:AC55)=0,"",IF(A55="","Missing ID",IF(COUNTIF($A$5:$A$104,A55)&gt;1,"Duplicate ID",IF(OR(C55="",D55="",E55="",F55=""),"Missing risk context",IF(OR(NOT(ISNUMBER(I55)),NOT(ISNUMBER(O55))),"Incomplete or invalid scores",IF(OR(Q55="",S55="",T55=""),"Missing treatment or owner",IF(NOT(ISNUMBER(U55)),"Missing or invalid target date",IF(U55&lt;=0,"Missing or invalid target date","OK"))))))))</x:f>
      </x:c>
      <x:c r="AE55" s="96" t="str">
        <x:f>IF(A55="","",IF(AND(OR(T55="Closed",T55="Accepted"),OR(AC55="",Z55&lt;&gt;"Evidence reviewed",AA55="",NOT(ISNUMBER(AB55)))),"Closure review needed",IF(OR(Y55="",Z55="",AA55="",NOT(ISNUMBER(AB55))),"Add assessment support",IF(AB55&lt;=0,"Add assessment support","Notes present"))))</x:f>
      </x:c>
    </x:row>
    <x:row r="56" ht="36" customHeight="1">
      <x:c r="A56" s="40"/>
      <x:c r="B56" s="40"/>
      <x:c r="C56" s="40"/>
      <x:c r="D56" s="40"/>
      <x:c r="E56" s="40"/>
      <x:c r="F56" s="40"/>
      <x:c r="G56" s="40"/>
      <x:c r="H56" s="40"/>
      <x:c r="I56" s="41" t="str">
        <x:f>IF(A56="","",IF(COUNT(G56,H56)&lt;&gt;2,"",IF(AND(G56&gt;=1,G56&lt;=5,H56&gt;=1,H56&lt;=5,MOD(G56,1)=0,MOD(H56,1)=0),G56*H56,"")))</x:f>
      </x:c>
      <x:c r="J56" s="41" t="str">
        <x:f>IF(A56="","",IF(ISNUMBER(I56),IF(I56&gt;=16,"Critical",IF(I56&gt;=10,"High",IF(I56&gt;=5,"Medium","Low"))),"Not assessed"))</x:f>
      </x:c>
      <x:c r="K56" s="40"/>
      <x:c r="L56" s="40"/>
      <x:c r="M56" s="40"/>
      <x:c r="N56" s="40"/>
      <x:c r="O56" s="41" t="str">
        <x:f>IF(A56="","",IF(COUNT(M56,N56)&lt;&gt;2,"",IF(AND(M56&gt;=1,M56&lt;=5,N56&gt;=1,N56&lt;=5,MOD(M56,1)=0,MOD(N56,1)=0),M56*N56,"")))</x:f>
      </x:c>
      <x:c r="P56" s="41" t="str">
        <x:f>IF(A56="","",IF(ISNUMBER(O56),IF(O56&gt;=16,"Critical",IF(O56&gt;=10,"High",IF(O56&gt;=5,"Medium","Low"))),"Not assessed"))</x:f>
      </x:c>
      <x:c r="Q56" s="40"/>
      <x:c r="R56" s="40"/>
      <x:c r="S56" s="40"/>
      <x:c r="T56" s="40"/>
      <x:c r="U56" s="42"/>
      <x:c r="V56" s="40"/>
      <x:c r="W56" s="40"/>
      <x:c r="X56" s="40"/>
      <x:c r="Y56" s="92"/>
      <x:c r="Z56" s="92"/>
      <x:c r="AA56" s="92"/>
      <x:c r="AB56" s="97"/>
      <x:c r="AC56" s="92"/>
      <x:c r="AD56" s="96" t="str">
        <x:f>IF(COUNTA(A56:H56,K56:N56,Q56:AC56)=0,"",IF(A56="","Missing ID",IF(COUNTIF($A$5:$A$104,A56)&gt;1,"Duplicate ID",IF(OR(C56="",D56="",E56="",F56=""),"Missing risk context",IF(OR(NOT(ISNUMBER(I56)),NOT(ISNUMBER(O56))),"Incomplete or invalid scores",IF(OR(Q56="",S56="",T56=""),"Missing treatment or owner",IF(NOT(ISNUMBER(U56)),"Missing or invalid target date",IF(U56&lt;=0,"Missing or invalid target date","OK"))))))))</x:f>
      </x:c>
      <x:c r="AE56" s="96" t="str">
        <x:f>IF(A56="","",IF(AND(OR(T56="Closed",T56="Accepted"),OR(AC56="",Z56&lt;&gt;"Evidence reviewed",AA56="",NOT(ISNUMBER(AB56)))),"Closure review needed",IF(OR(Y56="",Z56="",AA56="",NOT(ISNUMBER(AB56))),"Add assessment support",IF(AB56&lt;=0,"Add assessment support","Notes present"))))</x:f>
      </x:c>
    </x:row>
    <x:row r="57" ht="36" customHeight="1">
      <x:c r="A57" s="40"/>
      <x:c r="B57" s="40"/>
      <x:c r="C57" s="40"/>
      <x:c r="D57" s="40"/>
      <x:c r="E57" s="40"/>
      <x:c r="F57" s="40"/>
      <x:c r="G57" s="40"/>
      <x:c r="H57" s="40"/>
      <x:c r="I57" s="41" t="str">
        <x:f>IF(A57="","",IF(COUNT(G57,H57)&lt;&gt;2,"",IF(AND(G57&gt;=1,G57&lt;=5,H57&gt;=1,H57&lt;=5,MOD(G57,1)=0,MOD(H57,1)=0),G57*H57,"")))</x:f>
      </x:c>
      <x:c r="J57" s="41" t="str">
        <x:f>IF(A57="","",IF(ISNUMBER(I57),IF(I57&gt;=16,"Critical",IF(I57&gt;=10,"High",IF(I57&gt;=5,"Medium","Low"))),"Not assessed"))</x:f>
      </x:c>
      <x:c r="K57" s="40"/>
      <x:c r="L57" s="40"/>
      <x:c r="M57" s="40"/>
      <x:c r="N57" s="40"/>
      <x:c r="O57" s="41" t="str">
        <x:f>IF(A57="","",IF(COUNT(M57,N57)&lt;&gt;2,"",IF(AND(M57&gt;=1,M57&lt;=5,N57&gt;=1,N57&lt;=5,MOD(M57,1)=0,MOD(N57,1)=0),M57*N57,"")))</x:f>
      </x:c>
      <x:c r="P57" s="41" t="str">
        <x:f>IF(A57="","",IF(ISNUMBER(O57),IF(O57&gt;=16,"Critical",IF(O57&gt;=10,"High",IF(O57&gt;=5,"Medium","Low"))),"Not assessed"))</x:f>
      </x:c>
      <x:c r="Q57" s="40"/>
      <x:c r="R57" s="40"/>
      <x:c r="S57" s="40"/>
      <x:c r="T57" s="40"/>
      <x:c r="U57" s="42"/>
      <x:c r="V57" s="40"/>
      <x:c r="W57" s="40"/>
      <x:c r="X57" s="40"/>
      <x:c r="Y57" s="92"/>
      <x:c r="Z57" s="92"/>
      <x:c r="AA57" s="92"/>
      <x:c r="AB57" s="97"/>
      <x:c r="AC57" s="92"/>
      <x:c r="AD57" s="96" t="str">
        <x:f>IF(COUNTA(A57:H57,K57:N57,Q57:AC57)=0,"",IF(A57="","Missing ID",IF(COUNTIF($A$5:$A$104,A57)&gt;1,"Duplicate ID",IF(OR(C57="",D57="",E57="",F57=""),"Missing risk context",IF(OR(NOT(ISNUMBER(I57)),NOT(ISNUMBER(O57))),"Incomplete or invalid scores",IF(OR(Q57="",S57="",T57=""),"Missing treatment or owner",IF(NOT(ISNUMBER(U57)),"Missing or invalid target date",IF(U57&lt;=0,"Missing or invalid target date","OK"))))))))</x:f>
      </x:c>
      <x:c r="AE57" s="96" t="str">
        <x:f>IF(A57="","",IF(AND(OR(T57="Closed",T57="Accepted"),OR(AC57="",Z57&lt;&gt;"Evidence reviewed",AA57="",NOT(ISNUMBER(AB57)))),"Closure review needed",IF(OR(Y57="",Z57="",AA57="",NOT(ISNUMBER(AB57))),"Add assessment support",IF(AB57&lt;=0,"Add assessment support","Notes present"))))</x:f>
      </x:c>
    </x:row>
    <x:row r="58" ht="36" customHeight="1">
      <x:c r="A58" s="40"/>
      <x:c r="B58" s="40"/>
      <x:c r="C58" s="40"/>
      <x:c r="D58" s="40"/>
      <x:c r="E58" s="40"/>
      <x:c r="F58" s="40"/>
      <x:c r="G58" s="40"/>
      <x:c r="H58" s="40"/>
      <x:c r="I58" s="41" t="str">
        <x:f>IF(A58="","",IF(COUNT(G58,H58)&lt;&gt;2,"",IF(AND(G58&gt;=1,G58&lt;=5,H58&gt;=1,H58&lt;=5,MOD(G58,1)=0,MOD(H58,1)=0),G58*H58,"")))</x:f>
      </x:c>
      <x:c r="J58" s="41" t="str">
        <x:f>IF(A58="","",IF(ISNUMBER(I58),IF(I58&gt;=16,"Critical",IF(I58&gt;=10,"High",IF(I58&gt;=5,"Medium","Low"))),"Not assessed"))</x:f>
      </x:c>
      <x:c r="K58" s="40"/>
      <x:c r="L58" s="40"/>
      <x:c r="M58" s="40"/>
      <x:c r="N58" s="40"/>
      <x:c r="O58" s="41" t="str">
        <x:f>IF(A58="","",IF(COUNT(M58,N58)&lt;&gt;2,"",IF(AND(M58&gt;=1,M58&lt;=5,N58&gt;=1,N58&lt;=5,MOD(M58,1)=0,MOD(N58,1)=0),M58*N58,"")))</x:f>
      </x:c>
      <x:c r="P58" s="41" t="str">
        <x:f>IF(A58="","",IF(ISNUMBER(O58),IF(O58&gt;=16,"Critical",IF(O58&gt;=10,"High",IF(O58&gt;=5,"Medium","Low"))),"Not assessed"))</x:f>
      </x:c>
      <x:c r="Q58" s="40"/>
      <x:c r="R58" s="40"/>
      <x:c r="S58" s="40"/>
      <x:c r="T58" s="40"/>
      <x:c r="U58" s="42"/>
      <x:c r="V58" s="40"/>
      <x:c r="W58" s="40"/>
      <x:c r="X58" s="40"/>
      <x:c r="Y58" s="92"/>
      <x:c r="Z58" s="92"/>
      <x:c r="AA58" s="92"/>
      <x:c r="AB58" s="97"/>
      <x:c r="AC58" s="92"/>
      <x:c r="AD58" s="96" t="str">
        <x:f>IF(COUNTA(A58:H58,K58:N58,Q58:AC58)=0,"",IF(A58="","Missing ID",IF(COUNTIF($A$5:$A$104,A58)&gt;1,"Duplicate ID",IF(OR(C58="",D58="",E58="",F58=""),"Missing risk context",IF(OR(NOT(ISNUMBER(I58)),NOT(ISNUMBER(O58))),"Incomplete or invalid scores",IF(OR(Q58="",S58="",T58=""),"Missing treatment or owner",IF(NOT(ISNUMBER(U58)),"Missing or invalid target date",IF(U58&lt;=0,"Missing or invalid target date","OK"))))))))</x:f>
      </x:c>
      <x:c r="AE58" s="96" t="str">
        <x:f>IF(A58="","",IF(AND(OR(T58="Closed",T58="Accepted"),OR(AC58="",Z58&lt;&gt;"Evidence reviewed",AA58="",NOT(ISNUMBER(AB58)))),"Closure review needed",IF(OR(Y58="",Z58="",AA58="",NOT(ISNUMBER(AB58))),"Add assessment support",IF(AB58&lt;=0,"Add assessment support","Notes present"))))</x:f>
      </x:c>
    </x:row>
    <x:row r="59" ht="36" customHeight="1">
      <x:c r="A59" s="40"/>
      <x:c r="B59" s="40"/>
      <x:c r="C59" s="40"/>
      <x:c r="D59" s="40"/>
      <x:c r="E59" s="40"/>
      <x:c r="F59" s="40"/>
      <x:c r="G59" s="40"/>
      <x:c r="H59" s="40"/>
      <x:c r="I59" s="41" t="str">
        <x:f>IF(A59="","",IF(COUNT(G59,H59)&lt;&gt;2,"",IF(AND(G59&gt;=1,G59&lt;=5,H59&gt;=1,H59&lt;=5,MOD(G59,1)=0,MOD(H59,1)=0),G59*H59,"")))</x:f>
      </x:c>
      <x:c r="J59" s="41" t="str">
        <x:f>IF(A59="","",IF(ISNUMBER(I59),IF(I59&gt;=16,"Critical",IF(I59&gt;=10,"High",IF(I59&gt;=5,"Medium","Low"))),"Not assessed"))</x:f>
      </x:c>
      <x:c r="K59" s="40"/>
      <x:c r="L59" s="40"/>
      <x:c r="M59" s="40"/>
      <x:c r="N59" s="40"/>
      <x:c r="O59" s="41" t="str">
        <x:f>IF(A59="","",IF(COUNT(M59,N59)&lt;&gt;2,"",IF(AND(M59&gt;=1,M59&lt;=5,N59&gt;=1,N59&lt;=5,MOD(M59,1)=0,MOD(N59,1)=0),M59*N59,"")))</x:f>
      </x:c>
      <x:c r="P59" s="41" t="str">
        <x:f>IF(A59="","",IF(ISNUMBER(O59),IF(O59&gt;=16,"Critical",IF(O59&gt;=10,"High",IF(O59&gt;=5,"Medium","Low"))),"Not assessed"))</x:f>
      </x:c>
      <x:c r="Q59" s="40"/>
      <x:c r="R59" s="40"/>
      <x:c r="S59" s="40"/>
      <x:c r="T59" s="40"/>
      <x:c r="U59" s="42"/>
      <x:c r="V59" s="40"/>
      <x:c r="W59" s="40"/>
      <x:c r="X59" s="40"/>
      <x:c r="Y59" s="92"/>
      <x:c r="Z59" s="92"/>
      <x:c r="AA59" s="92"/>
      <x:c r="AB59" s="97"/>
      <x:c r="AC59" s="92"/>
      <x:c r="AD59" s="96" t="str">
        <x:f>IF(COUNTA(A59:H59,K59:N59,Q59:AC59)=0,"",IF(A59="","Missing ID",IF(COUNTIF($A$5:$A$104,A59)&gt;1,"Duplicate ID",IF(OR(C59="",D59="",E59="",F59=""),"Missing risk context",IF(OR(NOT(ISNUMBER(I59)),NOT(ISNUMBER(O59))),"Incomplete or invalid scores",IF(OR(Q59="",S59="",T59=""),"Missing treatment or owner",IF(NOT(ISNUMBER(U59)),"Missing or invalid target date",IF(U59&lt;=0,"Missing or invalid target date","OK"))))))))</x:f>
      </x:c>
      <x:c r="AE59" s="96" t="str">
        <x:f>IF(A59="","",IF(AND(OR(T59="Closed",T59="Accepted"),OR(AC59="",Z59&lt;&gt;"Evidence reviewed",AA59="",NOT(ISNUMBER(AB59)))),"Closure review needed",IF(OR(Y59="",Z59="",AA59="",NOT(ISNUMBER(AB59))),"Add assessment support",IF(AB59&lt;=0,"Add assessment support","Notes present"))))</x:f>
      </x:c>
    </x:row>
    <x:row r="60" ht="36" customHeight="1">
      <x:c r="A60" s="40"/>
      <x:c r="B60" s="40"/>
      <x:c r="C60" s="40"/>
      <x:c r="D60" s="40"/>
      <x:c r="E60" s="40"/>
      <x:c r="F60" s="40"/>
      <x:c r="G60" s="40"/>
      <x:c r="H60" s="40"/>
      <x:c r="I60" s="41" t="str">
        <x:f>IF(A60="","",IF(COUNT(G60,H60)&lt;&gt;2,"",IF(AND(G60&gt;=1,G60&lt;=5,H60&gt;=1,H60&lt;=5,MOD(G60,1)=0,MOD(H60,1)=0),G60*H60,"")))</x:f>
      </x:c>
      <x:c r="J60" s="41" t="str">
        <x:f>IF(A60="","",IF(ISNUMBER(I60),IF(I60&gt;=16,"Critical",IF(I60&gt;=10,"High",IF(I60&gt;=5,"Medium","Low"))),"Not assessed"))</x:f>
      </x:c>
      <x:c r="K60" s="40"/>
      <x:c r="L60" s="40"/>
      <x:c r="M60" s="40"/>
      <x:c r="N60" s="40"/>
      <x:c r="O60" s="41" t="str">
        <x:f>IF(A60="","",IF(COUNT(M60,N60)&lt;&gt;2,"",IF(AND(M60&gt;=1,M60&lt;=5,N60&gt;=1,N60&lt;=5,MOD(M60,1)=0,MOD(N60,1)=0),M60*N60,"")))</x:f>
      </x:c>
      <x:c r="P60" s="41" t="str">
        <x:f>IF(A60="","",IF(ISNUMBER(O60),IF(O60&gt;=16,"Critical",IF(O60&gt;=10,"High",IF(O60&gt;=5,"Medium","Low"))),"Not assessed"))</x:f>
      </x:c>
      <x:c r="Q60" s="40"/>
      <x:c r="R60" s="40"/>
      <x:c r="S60" s="40"/>
      <x:c r="T60" s="40"/>
      <x:c r="U60" s="42"/>
      <x:c r="V60" s="40"/>
      <x:c r="W60" s="40"/>
      <x:c r="X60" s="40"/>
      <x:c r="Y60" s="92"/>
      <x:c r="Z60" s="92"/>
      <x:c r="AA60" s="92"/>
      <x:c r="AB60" s="97"/>
      <x:c r="AC60" s="92"/>
      <x:c r="AD60" s="96" t="str">
        <x:f>IF(COUNTA(A60:H60,K60:N60,Q60:AC60)=0,"",IF(A60="","Missing ID",IF(COUNTIF($A$5:$A$104,A60)&gt;1,"Duplicate ID",IF(OR(C60="",D60="",E60="",F60=""),"Missing risk context",IF(OR(NOT(ISNUMBER(I60)),NOT(ISNUMBER(O60))),"Incomplete or invalid scores",IF(OR(Q60="",S60="",T60=""),"Missing treatment or owner",IF(NOT(ISNUMBER(U60)),"Missing or invalid target date",IF(U60&lt;=0,"Missing or invalid target date","OK"))))))))</x:f>
      </x:c>
      <x:c r="AE60" s="96" t="str">
        <x:f>IF(A60="","",IF(AND(OR(T60="Closed",T60="Accepted"),OR(AC60="",Z60&lt;&gt;"Evidence reviewed",AA60="",NOT(ISNUMBER(AB60)))),"Closure review needed",IF(OR(Y60="",Z60="",AA60="",NOT(ISNUMBER(AB60))),"Add assessment support",IF(AB60&lt;=0,"Add assessment support","Notes present"))))</x:f>
      </x:c>
    </x:row>
    <x:row r="61" ht="36" customHeight="1">
      <x:c r="A61" s="40"/>
      <x:c r="B61" s="40"/>
      <x:c r="C61" s="40"/>
      <x:c r="D61" s="40"/>
      <x:c r="E61" s="40"/>
      <x:c r="F61" s="40"/>
      <x:c r="G61" s="40"/>
      <x:c r="H61" s="40"/>
      <x:c r="I61" s="41" t="str">
        <x:f>IF(A61="","",IF(COUNT(G61,H61)&lt;&gt;2,"",IF(AND(G61&gt;=1,G61&lt;=5,H61&gt;=1,H61&lt;=5,MOD(G61,1)=0,MOD(H61,1)=0),G61*H61,"")))</x:f>
      </x:c>
      <x:c r="J61" s="41" t="str">
        <x:f>IF(A61="","",IF(ISNUMBER(I61),IF(I61&gt;=16,"Critical",IF(I61&gt;=10,"High",IF(I61&gt;=5,"Medium","Low"))),"Not assessed"))</x:f>
      </x:c>
      <x:c r="K61" s="40"/>
      <x:c r="L61" s="40"/>
      <x:c r="M61" s="40"/>
      <x:c r="N61" s="40"/>
      <x:c r="O61" s="41" t="str">
        <x:f>IF(A61="","",IF(COUNT(M61,N61)&lt;&gt;2,"",IF(AND(M61&gt;=1,M61&lt;=5,N61&gt;=1,N61&lt;=5,MOD(M61,1)=0,MOD(N61,1)=0),M61*N61,"")))</x:f>
      </x:c>
      <x:c r="P61" s="41" t="str">
        <x:f>IF(A61="","",IF(ISNUMBER(O61),IF(O61&gt;=16,"Critical",IF(O61&gt;=10,"High",IF(O61&gt;=5,"Medium","Low"))),"Not assessed"))</x:f>
      </x:c>
      <x:c r="Q61" s="40"/>
      <x:c r="R61" s="40"/>
      <x:c r="S61" s="40"/>
      <x:c r="T61" s="40"/>
      <x:c r="U61" s="42"/>
      <x:c r="V61" s="40"/>
      <x:c r="W61" s="40"/>
      <x:c r="X61" s="40"/>
      <x:c r="Y61" s="92"/>
      <x:c r="Z61" s="92"/>
      <x:c r="AA61" s="92"/>
      <x:c r="AB61" s="97"/>
      <x:c r="AC61" s="92"/>
      <x:c r="AD61" s="96" t="str">
        <x:f>IF(COUNTA(A61:H61,K61:N61,Q61:AC61)=0,"",IF(A61="","Missing ID",IF(COUNTIF($A$5:$A$104,A61)&gt;1,"Duplicate ID",IF(OR(C61="",D61="",E61="",F61=""),"Missing risk context",IF(OR(NOT(ISNUMBER(I61)),NOT(ISNUMBER(O61))),"Incomplete or invalid scores",IF(OR(Q61="",S61="",T61=""),"Missing treatment or owner",IF(NOT(ISNUMBER(U61)),"Missing or invalid target date",IF(U61&lt;=0,"Missing or invalid target date","OK"))))))))</x:f>
      </x:c>
      <x:c r="AE61" s="96" t="str">
        <x:f>IF(A61="","",IF(AND(OR(T61="Closed",T61="Accepted"),OR(AC61="",Z61&lt;&gt;"Evidence reviewed",AA61="",NOT(ISNUMBER(AB61)))),"Closure review needed",IF(OR(Y61="",Z61="",AA61="",NOT(ISNUMBER(AB61))),"Add assessment support",IF(AB61&lt;=0,"Add assessment support","Notes present"))))</x:f>
      </x:c>
    </x:row>
    <x:row r="62" ht="36" customHeight="1">
      <x:c r="A62" s="40"/>
      <x:c r="B62" s="40"/>
      <x:c r="C62" s="40"/>
      <x:c r="D62" s="40"/>
      <x:c r="E62" s="40"/>
      <x:c r="F62" s="40"/>
      <x:c r="G62" s="40"/>
      <x:c r="H62" s="40"/>
      <x:c r="I62" s="41" t="str">
        <x:f>IF(A62="","",IF(COUNT(G62,H62)&lt;&gt;2,"",IF(AND(G62&gt;=1,G62&lt;=5,H62&gt;=1,H62&lt;=5,MOD(G62,1)=0,MOD(H62,1)=0),G62*H62,"")))</x:f>
      </x:c>
      <x:c r="J62" s="41" t="str">
        <x:f>IF(A62="","",IF(ISNUMBER(I62),IF(I62&gt;=16,"Critical",IF(I62&gt;=10,"High",IF(I62&gt;=5,"Medium","Low"))),"Not assessed"))</x:f>
      </x:c>
      <x:c r="K62" s="40"/>
      <x:c r="L62" s="40"/>
      <x:c r="M62" s="40"/>
      <x:c r="N62" s="40"/>
      <x:c r="O62" s="41" t="str">
        <x:f>IF(A62="","",IF(COUNT(M62,N62)&lt;&gt;2,"",IF(AND(M62&gt;=1,M62&lt;=5,N62&gt;=1,N62&lt;=5,MOD(M62,1)=0,MOD(N62,1)=0),M62*N62,"")))</x:f>
      </x:c>
      <x:c r="P62" s="41" t="str">
        <x:f>IF(A62="","",IF(ISNUMBER(O62),IF(O62&gt;=16,"Critical",IF(O62&gt;=10,"High",IF(O62&gt;=5,"Medium","Low"))),"Not assessed"))</x:f>
      </x:c>
      <x:c r="Q62" s="40"/>
      <x:c r="R62" s="40"/>
      <x:c r="S62" s="40"/>
      <x:c r="T62" s="40"/>
      <x:c r="U62" s="42"/>
      <x:c r="V62" s="40"/>
      <x:c r="W62" s="40"/>
      <x:c r="X62" s="40"/>
      <x:c r="Y62" s="92"/>
      <x:c r="Z62" s="92"/>
      <x:c r="AA62" s="92"/>
      <x:c r="AB62" s="97"/>
      <x:c r="AC62" s="92"/>
      <x:c r="AD62" s="96" t="str">
        <x:f>IF(COUNTA(A62:H62,K62:N62,Q62:AC62)=0,"",IF(A62="","Missing ID",IF(COUNTIF($A$5:$A$104,A62)&gt;1,"Duplicate ID",IF(OR(C62="",D62="",E62="",F62=""),"Missing risk context",IF(OR(NOT(ISNUMBER(I62)),NOT(ISNUMBER(O62))),"Incomplete or invalid scores",IF(OR(Q62="",S62="",T62=""),"Missing treatment or owner",IF(NOT(ISNUMBER(U62)),"Missing or invalid target date",IF(U62&lt;=0,"Missing or invalid target date","OK"))))))))</x:f>
      </x:c>
      <x:c r="AE62" s="96" t="str">
        <x:f>IF(A62="","",IF(AND(OR(T62="Closed",T62="Accepted"),OR(AC62="",Z62&lt;&gt;"Evidence reviewed",AA62="",NOT(ISNUMBER(AB62)))),"Closure review needed",IF(OR(Y62="",Z62="",AA62="",NOT(ISNUMBER(AB62))),"Add assessment support",IF(AB62&lt;=0,"Add assessment support","Notes present"))))</x:f>
      </x:c>
    </x:row>
    <x:row r="63" ht="36" customHeight="1">
      <x:c r="A63" s="40"/>
      <x:c r="B63" s="40"/>
      <x:c r="C63" s="40"/>
      <x:c r="D63" s="40"/>
      <x:c r="E63" s="40"/>
      <x:c r="F63" s="40"/>
      <x:c r="G63" s="40"/>
      <x:c r="H63" s="40"/>
      <x:c r="I63" s="41" t="str">
        <x:f>IF(A63="","",IF(COUNT(G63,H63)&lt;&gt;2,"",IF(AND(G63&gt;=1,G63&lt;=5,H63&gt;=1,H63&lt;=5,MOD(G63,1)=0,MOD(H63,1)=0),G63*H63,"")))</x:f>
      </x:c>
      <x:c r="J63" s="41" t="str">
        <x:f>IF(A63="","",IF(ISNUMBER(I63),IF(I63&gt;=16,"Critical",IF(I63&gt;=10,"High",IF(I63&gt;=5,"Medium","Low"))),"Not assessed"))</x:f>
      </x:c>
      <x:c r="K63" s="40"/>
      <x:c r="L63" s="40"/>
      <x:c r="M63" s="40"/>
      <x:c r="N63" s="40"/>
      <x:c r="O63" s="41" t="str">
        <x:f>IF(A63="","",IF(COUNT(M63,N63)&lt;&gt;2,"",IF(AND(M63&gt;=1,M63&lt;=5,N63&gt;=1,N63&lt;=5,MOD(M63,1)=0,MOD(N63,1)=0),M63*N63,"")))</x:f>
      </x:c>
      <x:c r="P63" s="41" t="str">
        <x:f>IF(A63="","",IF(ISNUMBER(O63),IF(O63&gt;=16,"Critical",IF(O63&gt;=10,"High",IF(O63&gt;=5,"Medium","Low"))),"Not assessed"))</x:f>
      </x:c>
      <x:c r="Q63" s="40"/>
      <x:c r="R63" s="40"/>
      <x:c r="S63" s="40"/>
      <x:c r="T63" s="40"/>
      <x:c r="U63" s="42"/>
      <x:c r="V63" s="40"/>
      <x:c r="W63" s="40"/>
      <x:c r="X63" s="40"/>
      <x:c r="Y63" s="92"/>
      <x:c r="Z63" s="92"/>
      <x:c r="AA63" s="92"/>
      <x:c r="AB63" s="97"/>
      <x:c r="AC63" s="92"/>
      <x:c r="AD63" s="96" t="str">
        <x:f>IF(COUNTA(A63:H63,K63:N63,Q63:AC63)=0,"",IF(A63="","Missing ID",IF(COUNTIF($A$5:$A$104,A63)&gt;1,"Duplicate ID",IF(OR(C63="",D63="",E63="",F63=""),"Missing risk context",IF(OR(NOT(ISNUMBER(I63)),NOT(ISNUMBER(O63))),"Incomplete or invalid scores",IF(OR(Q63="",S63="",T63=""),"Missing treatment or owner",IF(NOT(ISNUMBER(U63)),"Missing or invalid target date",IF(U63&lt;=0,"Missing or invalid target date","OK"))))))))</x:f>
      </x:c>
      <x:c r="AE63" s="96" t="str">
        <x:f>IF(A63="","",IF(AND(OR(T63="Closed",T63="Accepted"),OR(AC63="",Z63&lt;&gt;"Evidence reviewed",AA63="",NOT(ISNUMBER(AB63)))),"Closure review needed",IF(OR(Y63="",Z63="",AA63="",NOT(ISNUMBER(AB63))),"Add assessment support",IF(AB63&lt;=0,"Add assessment support","Notes present"))))</x:f>
      </x:c>
    </x:row>
    <x:row r="64" ht="36" customHeight="1">
      <x:c r="A64" s="40"/>
      <x:c r="B64" s="40"/>
      <x:c r="C64" s="40"/>
      <x:c r="D64" s="40"/>
      <x:c r="E64" s="40"/>
      <x:c r="F64" s="40"/>
      <x:c r="G64" s="40"/>
      <x:c r="H64" s="40"/>
      <x:c r="I64" s="41" t="str">
        <x:f>IF(A64="","",IF(COUNT(G64,H64)&lt;&gt;2,"",IF(AND(G64&gt;=1,G64&lt;=5,H64&gt;=1,H64&lt;=5,MOD(G64,1)=0,MOD(H64,1)=0),G64*H64,"")))</x:f>
      </x:c>
      <x:c r="J64" s="41" t="str">
        <x:f>IF(A64="","",IF(ISNUMBER(I64),IF(I64&gt;=16,"Critical",IF(I64&gt;=10,"High",IF(I64&gt;=5,"Medium","Low"))),"Not assessed"))</x:f>
      </x:c>
      <x:c r="K64" s="40"/>
      <x:c r="L64" s="40"/>
      <x:c r="M64" s="40"/>
      <x:c r="N64" s="40"/>
      <x:c r="O64" s="41" t="str">
        <x:f>IF(A64="","",IF(COUNT(M64,N64)&lt;&gt;2,"",IF(AND(M64&gt;=1,M64&lt;=5,N64&gt;=1,N64&lt;=5,MOD(M64,1)=0,MOD(N64,1)=0),M64*N64,"")))</x:f>
      </x:c>
      <x:c r="P64" s="41" t="str">
        <x:f>IF(A64="","",IF(ISNUMBER(O64),IF(O64&gt;=16,"Critical",IF(O64&gt;=10,"High",IF(O64&gt;=5,"Medium","Low"))),"Not assessed"))</x:f>
      </x:c>
      <x:c r="Q64" s="40"/>
      <x:c r="R64" s="40"/>
      <x:c r="S64" s="40"/>
      <x:c r="T64" s="40"/>
      <x:c r="U64" s="42"/>
      <x:c r="V64" s="40"/>
      <x:c r="W64" s="40"/>
      <x:c r="X64" s="40"/>
      <x:c r="Y64" s="92"/>
      <x:c r="Z64" s="92"/>
      <x:c r="AA64" s="92"/>
      <x:c r="AB64" s="97"/>
      <x:c r="AC64" s="92"/>
      <x:c r="AD64" s="96" t="str">
        <x:f>IF(COUNTA(A64:H64,K64:N64,Q64:AC64)=0,"",IF(A64="","Missing ID",IF(COUNTIF($A$5:$A$104,A64)&gt;1,"Duplicate ID",IF(OR(C64="",D64="",E64="",F64=""),"Missing risk context",IF(OR(NOT(ISNUMBER(I64)),NOT(ISNUMBER(O64))),"Incomplete or invalid scores",IF(OR(Q64="",S64="",T64=""),"Missing treatment or owner",IF(NOT(ISNUMBER(U64)),"Missing or invalid target date",IF(U64&lt;=0,"Missing or invalid target date","OK"))))))))</x:f>
      </x:c>
      <x:c r="AE64" s="96" t="str">
        <x:f>IF(A64="","",IF(AND(OR(T64="Closed",T64="Accepted"),OR(AC64="",Z64&lt;&gt;"Evidence reviewed",AA64="",NOT(ISNUMBER(AB64)))),"Closure review needed",IF(OR(Y64="",Z64="",AA64="",NOT(ISNUMBER(AB64))),"Add assessment support",IF(AB64&lt;=0,"Add assessment support","Notes present"))))</x:f>
      </x:c>
    </x:row>
    <x:row r="65" ht="36" customHeight="1">
      <x:c r="A65" s="40"/>
      <x:c r="B65" s="40"/>
      <x:c r="C65" s="40"/>
      <x:c r="D65" s="40"/>
      <x:c r="E65" s="40"/>
      <x:c r="F65" s="40"/>
      <x:c r="G65" s="40"/>
      <x:c r="H65" s="40"/>
      <x:c r="I65" s="41" t="str">
        <x:f>IF(A65="","",IF(COUNT(G65,H65)&lt;&gt;2,"",IF(AND(G65&gt;=1,G65&lt;=5,H65&gt;=1,H65&lt;=5,MOD(G65,1)=0,MOD(H65,1)=0),G65*H65,"")))</x:f>
      </x:c>
      <x:c r="J65" s="41" t="str">
        <x:f>IF(A65="","",IF(ISNUMBER(I65),IF(I65&gt;=16,"Critical",IF(I65&gt;=10,"High",IF(I65&gt;=5,"Medium","Low"))),"Not assessed"))</x:f>
      </x:c>
      <x:c r="K65" s="40"/>
      <x:c r="L65" s="40"/>
      <x:c r="M65" s="40"/>
      <x:c r="N65" s="40"/>
      <x:c r="O65" s="41" t="str">
        <x:f>IF(A65="","",IF(COUNT(M65,N65)&lt;&gt;2,"",IF(AND(M65&gt;=1,M65&lt;=5,N65&gt;=1,N65&lt;=5,MOD(M65,1)=0,MOD(N65,1)=0),M65*N65,"")))</x:f>
      </x:c>
      <x:c r="P65" s="41" t="str">
        <x:f>IF(A65="","",IF(ISNUMBER(O65),IF(O65&gt;=16,"Critical",IF(O65&gt;=10,"High",IF(O65&gt;=5,"Medium","Low"))),"Not assessed"))</x:f>
      </x:c>
      <x:c r="Q65" s="40"/>
      <x:c r="R65" s="40"/>
      <x:c r="S65" s="40"/>
      <x:c r="T65" s="40"/>
      <x:c r="U65" s="42"/>
      <x:c r="V65" s="40"/>
      <x:c r="W65" s="40"/>
      <x:c r="X65" s="40"/>
      <x:c r="Y65" s="92"/>
      <x:c r="Z65" s="92"/>
      <x:c r="AA65" s="92"/>
      <x:c r="AB65" s="97"/>
      <x:c r="AC65" s="92"/>
      <x:c r="AD65" s="96" t="str">
        <x:f>IF(COUNTA(A65:H65,K65:N65,Q65:AC65)=0,"",IF(A65="","Missing ID",IF(COUNTIF($A$5:$A$104,A65)&gt;1,"Duplicate ID",IF(OR(C65="",D65="",E65="",F65=""),"Missing risk context",IF(OR(NOT(ISNUMBER(I65)),NOT(ISNUMBER(O65))),"Incomplete or invalid scores",IF(OR(Q65="",S65="",T65=""),"Missing treatment or owner",IF(NOT(ISNUMBER(U65)),"Missing or invalid target date",IF(U65&lt;=0,"Missing or invalid target date","OK"))))))))</x:f>
      </x:c>
      <x:c r="AE65" s="96" t="str">
        <x:f>IF(A65="","",IF(AND(OR(T65="Closed",T65="Accepted"),OR(AC65="",Z65&lt;&gt;"Evidence reviewed",AA65="",NOT(ISNUMBER(AB65)))),"Closure review needed",IF(OR(Y65="",Z65="",AA65="",NOT(ISNUMBER(AB65))),"Add assessment support",IF(AB65&lt;=0,"Add assessment support","Notes present"))))</x:f>
      </x:c>
    </x:row>
    <x:row r="66" ht="36" customHeight="1">
      <x:c r="A66" s="40"/>
      <x:c r="B66" s="40"/>
      <x:c r="C66" s="40"/>
      <x:c r="D66" s="40"/>
      <x:c r="E66" s="40"/>
      <x:c r="F66" s="40"/>
      <x:c r="G66" s="40"/>
      <x:c r="H66" s="40"/>
      <x:c r="I66" s="41" t="str">
        <x:f>IF(A66="","",IF(COUNT(G66,H66)&lt;&gt;2,"",IF(AND(G66&gt;=1,G66&lt;=5,H66&gt;=1,H66&lt;=5,MOD(G66,1)=0,MOD(H66,1)=0),G66*H66,"")))</x:f>
      </x:c>
      <x:c r="J66" s="41" t="str">
        <x:f>IF(A66="","",IF(ISNUMBER(I66),IF(I66&gt;=16,"Critical",IF(I66&gt;=10,"High",IF(I66&gt;=5,"Medium","Low"))),"Not assessed"))</x:f>
      </x:c>
      <x:c r="K66" s="40"/>
      <x:c r="L66" s="40"/>
      <x:c r="M66" s="40"/>
      <x:c r="N66" s="40"/>
      <x:c r="O66" s="41" t="str">
        <x:f>IF(A66="","",IF(COUNT(M66,N66)&lt;&gt;2,"",IF(AND(M66&gt;=1,M66&lt;=5,N66&gt;=1,N66&lt;=5,MOD(M66,1)=0,MOD(N66,1)=0),M66*N66,"")))</x:f>
      </x:c>
      <x:c r="P66" s="41" t="str">
        <x:f>IF(A66="","",IF(ISNUMBER(O66),IF(O66&gt;=16,"Critical",IF(O66&gt;=10,"High",IF(O66&gt;=5,"Medium","Low"))),"Not assessed"))</x:f>
      </x:c>
      <x:c r="Q66" s="40"/>
      <x:c r="R66" s="40"/>
      <x:c r="S66" s="40"/>
      <x:c r="T66" s="40"/>
      <x:c r="U66" s="42"/>
      <x:c r="V66" s="40"/>
      <x:c r="W66" s="40"/>
      <x:c r="X66" s="40"/>
      <x:c r="Y66" s="92"/>
      <x:c r="Z66" s="92"/>
      <x:c r="AA66" s="92"/>
      <x:c r="AB66" s="97"/>
      <x:c r="AC66" s="92"/>
      <x:c r="AD66" s="96" t="str">
        <x:f>IF(COUNTA(A66:H66,K66:N66,Q66:AC66)=0,"",IF(A66="","Missing ID",IF(COUNTIF($A$5:$A$104,A66)&gt;1,"Duplicate ID",IF(OR(C66="",D66="",E66="",F66=""),"Missing risk context",IF(OR(NOT(ISNUMBER(I66)),NOT(ISNUMBER(O66))),"Incomplete or invalid scores",IF(OR(Q66="",S66="",T66=""),"Missing treatment or owner",IF(NOT(ISNUMBER(U66)),"Missing or invalid target date",IF(U66&lt;=0,"Missing or invalid target date","OK"))))))))</x:f>
      </x:c>
      <x:c r="AE66" s="96" t="str">
        <x:f>IF(A66="","",IF(AND(OR(T66="Closed",T66="Accepted"),OR(AC66="",Z66&lt;&gt;"Evidence reviewed",AA66="",NOT(ISNUMBER(AB66)))),"Closure review needed",IF(OR(Y66="",Z66="",AA66="",NOT(ISNUMBER(AB66))),"Add assessment support",IF(AB66&lt;=0,"Add assessment support","Notes present"))))</x:f>
      </x:c>
    </x:row>
    <x:row r="67" ht="36" customHeight="1">
      <x:c r="A67" s="40"/>
      <x:c r="B67" s="40"/>
      <x:c r="C67" s="40"/>
      <x:c r="D67" s="40"/>
      <x:c r="E67" s="40"/>
      <x:c r="F67" s="40"/>
      <x:c r="G67" s="40"/>
      <x:c r="H67" s="40"/>
      <x:c r="I67" s="41" t="str">
        <x:f>IF(A67="","",IF(COUNT(G67,H67)&lt;&gt;2,"",IF(AND(G67&gt;=1,G67&lt;=5,H67&gt;=1,H67&lt;=5,MOD(G67,1)=0,MOD(H67,1)=0),G67*H67,"")))</x:f>
      </x:c>
      <x:c r="J67" s="41" t="str">
        <x:f>IF(A67="","",IF(ISNUMBER(I67),IF(I67&gt;=16,"Critical",IF(I67&gt;=10,"High",IF(I67&gt;=5,"Medium","Low"))),"Not assessed"))</x:f>
      </x:c>
      <x:c r="K67" s="40"/>
      <x:c r="L67" s="40"/>
      <x:c r="M67" s="40"/>
      <x:c r="N67" s="40"/>
      <x:c r="O67" s="41" t="str">
        <x:f>IF(A67="","",IF(COUNT(M67,N67)&lt;&gt;2,"",IF(AND(M67&gt;=1,M67&lt;=5,N67&gt;=1,N67&lt;=5,MOD(M67,1)=0,MOD(N67,1)=0),M67*N67,"")))</x:f>
      </x:c>
      <x:c r="P67" s="41" t="str">
        <x:f>IF(A67="","",IF(ISNUMBER(O67),IF(O67&gt;=16,"Critical",IF(O67&gt;=10,"High",IF(O67&gt;=5,"Medium","Low"))),"Not assessed"))</x:f>
      </x:c>
      <x:c r="Q67" s="40"/>
      <x:c r="R67" s="40"/>
      <x:c r="S67" s="40"/>
      <x:c r="T67" s="40"/>
      <x:c r="U67" s="42"/>
      <x:c r="V67" s="40"/>
      <x:c r="W67" s="40"/>
      <x:c r="X67" s="40"/>
      <x:c r="Y67" s="92"/>
      <x:c r="Z67" s="92"/>
      <x:c r="AA67" s="92"/>
      <x:c r="AB67" s="97"/>
      <x:c r="AC67" s="92"/>
      <x:c r="AD67" s="96" t="str">
        <x:f>IF(COUNTA(A67:H67,K67:N67,Q67:AC67)=0,"",IF(A67="","Missing ID",IF(COUNTIF($A$5:$A$104,A67)&gt;1,"Duplicate ID",IF(OR(C67="",D67="",E67="",F67=""),"Missing risk context",IF(OR(NOT(ISNUMBER(I67)),NOT(ISNUMBER(O67))),"Incomplete or invalid scores",IF(OR(Q67="",S67="",T67=""),"Missing treatment or owner",IF(NOT(ISNUMBER(U67)),"Missing or invalid target date",IF(U67&lt;=0,"Missing or invalid target date","OK"))))))))</x:f>
      </x:c>
      <x:c r="AE67" s="96" t="str">
        <x:f>IF(A67="","",IF(AND(OR(T67="Closed",T67="Accepted"),OR(AC67="",Z67&lt;&gt;"Evidence reviewed",AA67="",NOT(ISNUMBER(AB67)))),"Closure review needed",IF(OR(Y67="",Z67="",AA67="",NOT(ISNUMBER(AB67))),"Add assessment support",IF(AB67&lt;=0,"Add assessment support","Notes present"))))</x:f>
      </x:c>
    </x:row>
    <x:row r="68" ht="36" customHeight="1">
      <x:c r="A68" s="40"/>
      <x:c r="B68" s="40"/>
      <x:c r="C68" s="40"/>
      <x:c r="D68" s="40"/>
      <x:c r="E68" s="40"/>
      <x:c r="F68" s="40"/>
      <x:c r="G68" s="40"/>
      <x:c r="H68" s="40"/>
      <x:c r="I68" s="41" t="str">
        <x:f>IF(A68="","",IF(COUNT(G68,H68)&lt;&gt;2,"",IF(AND(G68&gt;=1,G68&lt;=5,H68&gt;=1,H68&lt;=5,MOD(G68,1)=0,MOD(H68,1)=0),G68*H68,"")))</x:f>
      </x:c>
      <x:c r="J68" s="41" t="str">
        <x:f>IF(A68="","",IF(ISNUMBER(I68),IF(I68&gt;=16,"Critical",IF(I68&gt;=10,"High",IF(I68&gt;=5,"Medium","Low"))),"Not assessed"))</x:f>
      </x:c>
      <x:c r="K68" s="40"/>
      <x:c r="L68" s="40"/>
      <x:c r="M68" s="40"/>
      <x:c r="N68" s="40"/>
      <x:c r="O68" s="41" t="str">
        <x:f>IF(A68="","",IF(COUNT(M68,N68)&lt;&gt;2,"",IF(AND(M68&gt;=1,M68&lt;=5,N68&gt;=1,N68&lt;=5,MOD(M68,1)=0,MOD(N68,1)=0),M68*N68,"")))</x:f>
      </x:c>
      <x:c r="P68" s="41" t="str">
        <x:f>IF(A68="","",IF(ISNUMBER(O68),IF(O68&gt;=16,"Critical",IF(O68&gt;=10,"High",IF(O68&gt;=5,"Medium","Low"))),"Not assessed"))</x:f>
      </x:c>
      <x:c r="Q68" s="40"/>
      <x:c r="R68" s="40"/>
      <x:c r="S68" s="40"/>
      <x:c r="T68" s="40"/>
      <x:c r="U68" s="42"/>
      <x:c r="V68" s="40"/>
      <x:c r="W68" s="40"/>
      <x:c r="X68" s="40"/>
      <x:c r="Y68" s="92"/>
      <x:c r="Z68" s="92"/>
      <x:c r="AA68" s="92"/>
      <x:c r="AB68" s="97"/>
      <x:c r="AC68" s="92"/>
      <x:c r="AD68" s="96" t="str">
        <x:f>IF(COUNTA(A68:H68,K68:N68,Q68:AC68)=0,"",IF(A68="","Missing ID",IF(COUNTIF($A$5:$A$104,A68)&gt;1,"Duplicate ID",IF(OR(C68="",D68="",E68="",F68=""),"Missing risk context",IF(OR(NOT(ISNUMBER(I68)),NOT(ISNUMBER(O68))),"Incomplete or invalid scores",IF(OR(Q68="",S68="",T68=""),"Missing treatment or owner",IF(NOT(ISNUMBER(U68)),"Missing or invalid target date",IF(U68&lt;=0,"Missing or invalid target date","OK"))))))))</x:f>
      </x:c>
      <x:c r="AE68" s="96" t="str">
        <x:f>IF(A68="","",IF(AND(OR(T68="Closed",T68="Accepted"),OR(AC68="",Z68&lt;&gt;"Evidence reviewed",AA68="",NOT(ISNUMBER(AB68)))),"Closure review needed",IF(OR(Y68="",Z68="",AA68="",NOT(ISNUMBER(AB68))),"Add assessment support",IF(AB68&lt;=0,"Add assessment support","Notes present"))))</x:f>
      </x:c>
    </x:row>
    <x:row r="69" ht="36" customHeight="1">
      <x:c r="A69" s="40"/>
      <x:c r="B69" s="40"/>
      <x:c r="C69" s="40"/>
      <x:c r="D69" s="40"/>
      <x:c r="E69" s="40"/>
      <x:c r="F69" s="40"/>
      <x:c r="G69" s="40"/>
      <x:c r="H69" s="40"/>
      <x:c r="I69" s="41" t="str">
        <x:f>IF(A69="","",IF(COUNT(G69,H69)&lt;&gt;2,"",IF(AND(G69&gt;=1,G69&lt;=5,H69&gt;=1,H69&lt;=5,MOD(G69,1)=0,MOD(H69,1)=0),G69*H69,"")))</x:f>
      </x:c>
      <x:c r="J69" s="41" t="str">
        <x:f>IF(A69="","",IF(ISNUMBER(I69),IF(I69&gt;=16,"Critical",IF(I69&gt;=10,"High",IF(I69&gt;=5,"Medium","Low"))),"Not assessed"))</x:f>
      </x:c>
      <x:c r="K69" s="40"/>
      <x:c r="L69" s="40"/>
      <x:c r="M69" s="40"/>
      <x:c r="N69" s="40"/>
      <x:c r="O69" s="41" t="str">
        <x:f>IF(A69="","",IF(COUNT(M69,N69)&lt;&gt;2,"",IF(AND(M69&gt;=1,M69&lt;=5,N69&gt;=1,N69&lt;=5,MOD(M69,1)=0,MOD(N69,1)=0),M69*N69,"")))</x:f>
      </x:c>
      <x:c r="P69" s="41" t="str">
        <x:f>IF(A69="","",IF(ISNUMBER(O69),IF(O69&gt;=16,"Critical",IF(O69&gt;=10,"High",IF(O69&gt;=5,"Medium","Low"))),"Not assessed"))</x:f>
      </x:c>
      <x:c r="Q69" s="40"/>
      <x:c r="R69" s="40"/>
      <x:c r="S69" s="40"/>
      <x:c r="T69" s="40"/>
      <x:c r="U69" s="42"/>
      <x:c r="V69" s="40"/>
      <x:c r="W69" s="40"/>
      <x:c r="X69" s="40"/>
      <x:c r="Y69" s="92"/>
      <x:c r="Z69" s="92"/>
      <x:c r="AA69" s="92"/>
      <x:c r="AB69" s="97"/>
      <x:c r="AC69" s="92"/>
      <x:c r="AD69" s="96" t="str">
        <x:f>IF(COUNTA(A69:H69,K69:N69,Q69:AC69)=0,"",IF(A69="","Missing ID",IF(COUNTIF($A$5:$A$104,A69)&gt;1,"Duplicate ID",IF(OR(C69="",D69="",E69="",F69=""),"Missing risk context",IF(OR(NOT(ISNUMBER(I69)),NOT(ISNUMBER(O69))),"Incomplete or invalid scores",IF(OR(Q69="",S69="",T69=""),"Missing treatment or owner",IF(NOT(ISNUMBER(U69)),"Missing or invalid target date",IF(U69&lt;=0,"Missing or invalid target date","OK"))))))))</x:f>
      </x:c>
      <x:c r="AE69" s="96" t="str">
        <x:f>IF(A69="","",IF(AND(OR(T69="Closed",T69="Accepted"),OR(AC69="",Z69&lt;&gt;"Evidence reviewed",AA69="",NOT(ISNUMBER(AB69)))),"Closure review needed",IF(OR(Y69="",Z69="",AA69="",NOT(ISNUMBER(AB69))),"Add assessment support",IF(AB69&lt;=0,"Add assessment support","Notes present"))))</x:f>
      </x:c>
    </x:row>
    <x:row r="70" ht="36" customHeight="1">
      <x:c r="A70" s="40"/>
      <x:c r="B70" s="40"/>
      <x:c r="C70" s="40"/>
      <x:c r="D70" s="40"/>
      <x:c r="E70" s="40"/>
      <x:c r="F70" s="40"/>
      <x:c r="G70" s="40"/>
      <x:c r="H70" s="40"/>
      <x:c r="I70" s="41" t="str">
        <x:f>IF(A70="","",IF(COUNT(G70,H70)&lt;&gt;2,"",IF(AND(G70&gt;=1,G70&lt;=5,H70&gt;=1,H70&lt;=5,MOD(G70,1)=0,MOD(H70,1)=0),G70*H70,"")))</x:f>
      </x:c>
      <x:c r="J70" s="41" t="str">
        <x:f>IF(A70="","",IF(ISNUMBER(I70),IF(I70&gt;=16,"Critical",IF(I70&gt;=10,"High",IF(I70&gt;=5,"Medium","Low"))),"Not assessed"))</x:f>
      </x:c>
      <x:c r="K70" s="40"/>
      <x:c r="L70" s="40"/>
      <x:c r="M70" s="40"/>
      <x:c r="N70" s="40"/>
      <x:c r="O70" s="41" t="str">
        <x:f>IF(A70="","",IF(COUNT(M70,N70)&lt;&gt;2,"",IF(AND(M70&gt;=1,M70&lt;=5,N70&gt;=1,N70&lt;=5,MOD(M70,1)=0,MOD(N70,1)=0),M70*N70,"")))</x:f>
      </x:c>
      <x:c r="P70" s="41" t="str">
        <x:f>IF(A70="","",IF(ISNUMBER(O70),IF(O70&gt;=16,"Critical",IF(O70&gt;=10,"High",IF(O70&gt;=5,"Medium","Low"))),"Not assessed"))</x:f>
      </x:c>
      <x:c r="Q70" s="40"/>
      <x:c r="R70" s="40"/>
      <x:c r="S70" s="40"/>
      <x:c r="T70" s="40"/>
      <x:c r="U70" s="42"/>
      <x:c r="V70" s="40"/>
      <x:c r="W70" s="40"/>
      <x:c r="X70" s="40"/>
      <x:c r="Y70" s="92"/>
      <x:c r="Z70" s="92"/>
      <x:c r="AA70" s="92"/>
      <x:c r="AB70" s="97"/>
      <x:c r="AC70" s="92"/>
      <x:c r="AD70" s="96" t="str">
        <x:f>IF(COUNTA(A70:H70,K70:N70,Q70:AC70)=0,"",IF(A70="","Missing ID",IF(COUNTIF($A$5:$A$104,A70)&gt;1,"Duplicate ID",IF(OR(C70="",D70="",E70="",F70=""),"Missing risk context",IF(OR(NOT(ISNUMBER(I70)),NOT(ISNUMBER(O70))),"Incomplete or invalid scores",IF(OR(Q70="",S70="",T70=""),"Missing treatment or owner",IF(NOT(ISNUMBER(U70)),"Missing or invalid target date",IF(U70&lt;=0,"Missing or invalid target date","OK"))))))))</x:f>
      </x:c>
      <x:c r="AE70" s="96" t="str">
        <x:f>IF(A70="","",IF(AND(OR(T70="Closed",T70="Accepted"),OR(AC70="",Z70&lt;&gt;"Evidence reviewed",AA70="",NOT(ISNUMBER(AB70)))),"Closure review needed",IF(OR(Y70="",Z70="",AA70="",NOT(ISNUMBER(AB70))),"Add assessment support",IF(AB70&lt;=0,"Add assessment support","Notes present"))))</x:f>
      </x:c>
    </x:row>
    <x:row r="71" ht="36" customHeight="1">
      <x:c r="A71" s="40"/>
      <x:c r="B71" s="40"/>
      <x:c r="C71" s="40"/>
      <x:c r="D71" s="40"/>
      <x:c r="E71" s="40"/>
      <x:c r="F71" s="40"/>
      <x:c r="G71" s="40"/>
      <x:c r="H71" s="40"/>
      <x:c r="I71" s="41" t="str">
        <x:f>IF(A71="","",IF(COUNT(G71,H71)&lt;&gt;2,"",IF(AND(G71&gt;=1,G71&lt;=5,H71&gt;=1,H71&lt;=5,MOD(G71,1)=0,MOD(H71,1)=0),G71*H71,"")))</x:f>
      </x:c>
      <x:c r="J71" s="41" t="str">
        <x:f>IF(A71="","",IF(ISNUMBER(I71),IF(I71&gt;=16,"Critical",IF(I71&gt;=10,"High",IF(I71&gt;=5,"Medium","Low"))),"Not assessed"))</x:f>
      </x:c>
      <x:c r="K71" s="40"/>
      <x:c r="L71" s="40"/>
      <x:c r="M71" s="40"/>
      <x:c r="N71" s="40"/>
      <x:c r="O71" s="41" t="str">
        <x:f>IF(A71="","",IF(COUNT(M71,N71)&lt;&gt;2,"",IF(AND(M71&gt;=1,M71&lt;=5,N71&gt;=1,N71&lt;=5,MOD(M71,1)=0,MOD(N71,1)=0),M71*N71,"")))</x:f>
      </x:c>
      <x:c r="P71" s="41" t="str">
        <x:f>IF(A71="","",IF(ISNUMBER(O71),IF(O71&gt;=16,"Critical",IF(O71&gt;=10,"High",IF(O71&gt;=5,"Medium","Low"))),"Not assessed"))</x:f>
      </x:c>
      <x:c r="Q71" s="40"/>
      <x:c r="R71" s="40"/>
      <x:c r="S71" s="40"/>
      <x:c r="T71" s="40"/>
      <x:c r="U71" s="42"/>
      <x:c r="V71" s="40"/>
      <x:c r="W71" s="40"/>
      <x:c r="X71" s="40"/>
      <x:c r="Y71" s="92"/>
      <x:c r="Z71" s="92"/>
      <x:c r="AA71" s="92"/>
      <x:c r="AB71" s="97"/>
      <x:c r="AC71" s="92"/>
      <x:c r="AD71" s="96" t="str">
        <x:f>IF(COUNTA(A71:H71,K71:N71,Q71:AC71)=0,"",IF(A71="","Missing ID",IF(COUNTIF($A$5:$A$104,A71)&gt;1,"Duplicate ID",IF(OR(C71="",D71="",E71="",F71=""),"Missing risk context",IF(OR(NOT(ISNUMBER(I71)),NOT(ISNUMBER(O71))),"Incomplete or invalid scores",IF(OR(Q71="",S71="",T71=""),"Missing treatment or owner",IF(NOT(ISNUMBER(U71)),"Missing or invalid target date",IF(U71&lt;=0,"Missing or invalid target date","OK"))))))))</x:f>
      </x:c>
      <x:c r="AE71" s="96" t="str">
        <x:f>IF(A71="","",IF(AND(OR(T71="Closed",T71="Accepted"),OR(AC71="",Z71&lt;&gt;"Evidence reviewed",AA71="",NOT(ISNUMBER(AB71)))),"Closure review needed",IF(OR(Y71="",Z71="",AA71="",NOT(ISNUMBER(AB71))),"Add assessment support",IF(AB71&lt;=0,"Add assessment support","Notes present"))))</x:f>
      </x:c>
    </x:row>
    <x:row r="72" ht="36" customHeight="1">
      <x:c r="A72" s="40"/>
      <x:c r="B72" s="40"/>
      <x:c r="C72" s="40"/>
      <x:c r="D72" s="40"/>
      <x:c r="E72" s="40"/>
      <x:c r="F72" s="40"/>
      <x:c r="G72" s="40"/>
      <x:c r="H72" s="40"/>
      <x:c r="I72" s="41" t="str">
        <x:f>IF(A72="","",IF(COUNT(G72,H72)&lt;&gt;2,"",IF(AND(G72&gt;=1,G72&lt;=5,H72&gt;=1,H72&lt;=5,MOD(G72,1)=0,MOD(H72,1)=0),G72*H72,"")))</x:f>
      </x:c>
      <x:c r="J72" s="41" t="str">
        <x:f>IF(A72="","",IF(ISNUMBER(I72),IF(I72&gt;=16,"Critical",IF(I72&gt;=10,"High",IF(I72&gt;=5,"Medium","Low"))),"Not assessed"))</x:f>
      </x:c>
      <x:c r="K72" s="40"/>
      <x:c r="L72" s="40"/>
      <x:c r="M72" s="40"/>
      <x:c r="N72" s="40"/>
      <x:c r="O72" s="41" t="str">
        <x:f>IF(A72="","",IF(COUNT(M72,N72)&lt;&gt;2,"",IF(AND(M72&gt;=1,M72&lt;=5,N72&gt;=1,N72&lt;=5,MOD(M72,1)=0,MOD(N72,1)=0),M72*N72,"")))</x:f>
      </x:c>
      <x:c r="P72" s="41" t="str">
        <x:f>IF(A72="","",IF(ISNUMBER(O72),IF(O72&gt;=16,"Critical",IF(O72&gt;=10,"High",IF(O72&gt;=5,"Medium","Low"))),"Not assessed"))</x:f>
      </x:c>
      <x:c r="Q72" s="40"/>
      <x:c r="R72" s="40"/>
      <x:c r="S72" s="40"/>
      <x:c r="T72" s="40"/>
      <x:c r="U72" s="42"/>
      <x:c r="V72" s="40"/>
      <x:c r="W72" s="40"/>
      <x:c r="X72" s="40"/>
      <x:c r="Y72" s="92"/>
      <x:c r="Z72" s="92"/>
      <x:c r="AA72" s="92"/>
      <x:c r="AB72" s="97"/>
      <x:c r="AC72" s="92"/>
      <x:c r="AD72" s="96" t="str">
        <x:f>IF(COUNTA(A72:H72,K72:N72,Q72:AC72)=0,"",IF(A72="","Missing ID",IF(COUNTIF($A$5:$A$104,A72)&gt;1,"Duplicate ID",IF(OR(C72="",D72="",E72="",F72=""),"Missing risk context",IF(OR(NOT(ISNUMBER(I72)),NOT(ISNUMBER(O72))),"Incomplete or invalid scores",IF(OR(Q72="",S72="",T72=""),"Missing treatment or owner",IF(NOT(ISNUMBER(U72)),"Missing or invalid target date",IF(U72&lt;=0,"Missing or invalid target date","OK"))))))))</x:f>
      </x:c>
      <x:c r="AE72" s="96" t="str">
        <x:f>IF(A72="","",IF(AND(OR(T72="Closed",T72="Accepted"),OR(AC72="",Z72&lt;&gt;"Evidence reviewed",AA72="",NOT(ISNUMBER(AB72)))),"Closure review needed",IF(OR(Y72="",Z72="",AA72="",NOT(ISNUMBER(AB72))),"Add assessment support",IF(AB72&lt;=0,"Add assessment support","Notes present"))))</x:f>
      </x:c>
    </x:row>
    <x:row r="73" ht="36" customHeight="1">
      <x:c r="A73" s="40"/>
      <x:c r="B73" s="40"/>
      <x:c r="C73" s="40"/>
      <x:c r="D73" s="40"/>
      <x:c r="E73" s="40"/>
      <x:c r="F73" s="40"/>
      <x:c r="G73" s="40"/>
      <x:c r="H73" s="40"/>
      <x:c r="I73" s="41" t="str">
        <x:f>IF(A73="","",IF(COUNT(G73,H73)&lt;&gt;2,"",IF(AND(G73&gt;=1,G73&lt;=5,H73&gt;=1,H73&lt;=5,MOD(G73,1)=0,MOD(H73,1)=0),G73*H73,"")))</x:f>
      </x:c>
      <x:c r="J73" s="41" t="str">
        <x:f>IF(A73="","",IF(ISNUMBER(I73),IF(I73&gt;=16,"Critical",IF(I73&gt;=10,"High",IF(I73&gt;=5,"Medium","Low"))),"Not assessed"))</x:f>
      </x:c>
      <x:c r="K73" s="40"/>
      <x:c r="L73" s="40"/>
      <x:c r="M73" s="40"/>
      <x:c r="N73" s="40"/>
      <x:c r="O73" s="41" t="str">
        <x:f>IF(A73="","",IF(COUNT(M73,N73)&lt;&gt;2,"",IF(AND(M73&gt;=1,M73&lt;=5,N73&gt;=1,N73&lt;=5,MOD(M73,1)=0,MOD(N73,1)=0),M73*N73,"")))</x:f>
      </x:c>
      <x:c r="P73" s="41" t="str">
        <x:f>IF(A73="","",IF(ISNUMBER(O73),IF(O73&gt;=16,"Critical",IF(O73&gt;=10,"High",IF(O73&gt;=5,"Medium","Low"))),"Not assessed"))</x:f>
      </x:c>
      <x:c r="Q73" s="40"/>
      <x:c r="R73" s="40"/>
      <x:c r="S73" s="40"/>
      <x:c r="T73" s="40"/>
      <x:c r="U73" s="42"/>
      <x:c r="V73" s="40"/>
      <x:c r="W73" s="40"/>
      <x:c r="X73" s="40"/>
      <x:c r="Y73" s="92"/>
      <x:c r="Z73" s="92"/>
      <x:c r="AA73" s="92"/>
      <x:c r="AB73" s="97"/>
      <x:c r="AC73" s="92"/>
      <x:c r="AD73" s="96" t="str">
        <x:f>IF(COUNTA(A73:H73,K73:N73,Q73:AC73)=0,"",IF(A73="","Missing ID",IF(COUNTIF($A$5:$A$104,A73)&gt;1,"Duplicate ID",IF(OR(C73="",D73="",E73="",F73=""),"Missing risk context",IF(OR(NOT(ISNUMBER(I73)),NOT(ISNUMBER(O73))),"Incomplete or invalid scores",IF(OR(Q73="",S73="",T73=""),"Missing treatment or owner",IF(NOT(ISNUMBER(U73)),"Missing or invalid target date",IF(U73&lt;=0,"Missing or invalid target date","OK"))))))))</x:f>
      </x:c>
      <x:c r="AE73" s="96" t="str">
        <x:f>IF(A73="","",IF(AND(OR(T73="Closed",T73="Accepted"),OR(AC73="",Z73&lt;&gt;"Evidence reviewed",AA73="",NOT(ISNUMBER(AB73)))),"Closure review needed",IF(OR(Y73="",Z73="",AA73="",NOT(ISNUMBER(AB73))),"Add assessment support",IF(AB73&lt;=0,"Add assessment support","Notes present"))))</x:f>
      </x:c>
    </x:row>
    <x:row r="74" ht="36" customHeight="1">
      <x:c r="A74" s="40"/>
      <x:c r="B74" s="40"/>
      <x:c r="C74" s="40"/>
      <x:c r="D74" s="40"/>
      <x:c r="E74" s="40"/>
      <x:c r="F74" s="40"/>
      <x:c r="G74" s="40"/>
      <x:c r="H74" s="40"/>
      <x:c r="I74" s="41" t="str">
        <x:f>IF(A74="","",IF(COUNT(G74,H74)&lt;&gt;2,"",IF(AND(G74&gt;=1,G74&lt;=5,H74&gt;=1,H74&lt;=5,MOD(G74,1)=0,MOD(H74,1)=0),G74*H74,"")))</x:f>
      </x:c>
      <x:c r="J74" s="41" t="str">
        <x:f>IF(A74="","",IF(ISNUMBER(I74),IF(I74&gt;=16,"Critical",IF(I74&gt;=10,"High",IF(I74&gt;=5,"Medium","Low"))),"Not assessed"))</x:f>
      </x:c>
      <x:c r="K74" s="40"/>
      <x:c r="L74" s="40"/>
      <x:c r="M74" s="40"/>
      <x:c r="N74" s="40"/>
      <x:c r="O74" s="41" t="str">
        <x:f>IF(A74="","",IF(COUNT(M74,N74)&lt;&gt;2,"",IF(AND(M74&gt;=1,M74&lt;=5,N74&gt;=1,N74&lt;=5,MOD(M74,1)=0,MOD(N74,1)=0),M74*N74,"")))</x:f>
      </x:c>
      <x:c r="P74" s="41" t="str">
        <x:f>IF(A74="","",IF(ISNUMBER(O74),IF(O74&gt;=16,"Critical",IF(O74&gt;=10,"High",IF(O74&gt;=5,"Medium","Low"))),"Not assessed"))</x:f>
      </x:c>
      <x:c r="Q74" s="40"/>
      <x:c r="R74" s="40"/>
      <x:c r="S74" s="40"/>
      <x:c r="T74" s="40"/>
      <x:c r="U74" s="42"/>
      <x:c r="V74" s="40"/>
      <x:c r="W74" s="40"/>
      <x:c r="X74" s="40"/>
      <x:c r="Y74" s="92"/>
      <x:c r="Z74" s="92"/>
      <x:c r="AA74" s="92"/>
      <x:c r="AB74" s="97"/>
      <x:c r="AC74" s="92"/>
      <x:c r="AD74" s="96" t="str">
        <x:f>IF(COUNTA(A74:H74,K74:N74,Q74:AC74)=0,"",IF(A74="","Missing ID",IF(COUNTIF($A$5:$A$104,A74)&gt;1,"Duplicate ID",IF(OR(C74="",D74="",E74="",F74=""),"Missing risk context",IF(OR(NOT(ISNUMBER(I74)),NOT(ISNUMBER(O74))),"Incomplete or invalid scores",IF(OR(Q74="",S74="",T74=""),"Missing treatment or owner",IF(NOT(ISNUMBER(U74)),"Missing or invalid target date",IF(U74&lt;=0,"Missing or invalid target date","OK"))))))))</x:f>
      </x:c>
      <x:c r="AE74" s="96" t="str">
        <x:f>IF(A74="","",IF(AND(OR(T74="Closed",T74="Accepted"),OR(AC74="",Z74&lt;&gt;"Evidence reviewed",AA74="",NOT(ISNUMBER(AB74)))),"Closure review needed",IF(OR(Y74="",Z74="",AA74="",NOT(ISNUMBER(AB74))),"Add assessment support",IF(AB74&lt;=0,"Add assessment support","Notes present"))))</x:f>
      </x:c>
    </x:row>
    <x:row r="75" ht="36" customHeight="1">
      <x:c r="A75" s="40"/>
      <x:c r="B75" s="40"/>
      <x:c r="C75" s="40"/>
      <x:c r="D75" s="40"/>
      <x:c r="E75" s="40"/>
      <x:c r="F75" s="40"/>
      <x:c r="G75" s="40"/>
      <x:c r="H75" s="40"/>
      <x:c r="I75" s="41" t="str">
        <x:f>IF(A75="","",IF(COUNT(G75,H75)&lt;&gt;2,"",IF(AND(G75&gt;=1,G75&lt;=5,H75&gt;=1,H75&lt;=5,MOD(G75,1)=0,MOD(H75,1)=0),G75*H75,"")))</x:f>
      </x:c>
      <x:c r="J75" s="41" t="str">
        <x:f>IF(A75="","",IF(ISNUMBER(I75),IF(I75&gt;=16,"Critical",IF(I75&gt;=10,"High",IF(I75&gt;=5,"Medium","Low"))),"Not assessed"))</x:f>
      </x:c>
      <x:c r="K75" s="40"/>
      <x:c r="L75" s="40"/>
      <x:c r="M75" s="40"/>
      <x:c r="N75" s="40"/>
      <x:c r="O75" s="41" t="str">
        <x:f>IF(A75="","",IF(COUNT(M75,N75)&lt;&gt;2,"",IF(AND(M75&gt;=1,M75&lt;=5,N75&gt;=1,N75&lt;=5,MOD(M75,1)=0,MOD(N75,1)=0),M75*N75,"")))</x:f>
      </x:c>
      <x:c r="P75" s="41" t="str">
        <x:f>IF(A75="","",IF(ISNUMBER(O75),IF(O75&gt;=16,"Critical",IF(O75&gt;=10,"High",IF(O75&gt;=5,"Medium","Low"))),"Not assessed"))</x:f>
      </x:c>
      <x:c r="Q75" s="40"/>
      <x:c r="R75" s="40"/>
      <x:c r="S75" s="40"/>
      <x:c r="T75" s="40"/>
      <x:c r="U75" s="42"/>
      <x:c r="V75" s="40"/>
      <x:c r="W75" s="40"/>
      <x:c r="X75" s="40"/>
      <x:c r="Y75" s="92"/>
      <x:c r="Z75" s="92"/>
      <x:c r="AA75" s="92"/>
      <x:c r="AB75" s="97"/>
      <x:c r="AC75" s="92"/>
      <x:c r="AD75" s="96" t="str">
        <x:f>IF(COUNTA(A75:H75,K75:N75,Q75:AC75)=0,"",IF(A75="","Missing ID",IF(COUNTIF($A$5:$A$104,A75)&gt;1,"Duplicate ID",IF(OR(C75="",D75="",E75="",F75=""),"Missing risk context",IF(OR(NOT(ISNUMBER(I75)),NOT(ISNUMBER(O75))),"Incomplete or invalid scores",IF(OR(Q75="",S75="",T75=""),"Missing treatment or owner",IF(NOT(ISNUMBER(U75)),"Missing or invalid target date",IF(U75&lt;=0,"Missing or invalid target date","OK"))))))))</x:f>
      </x:c>
      <x:c r="AE75" s="96" t="str">
        <x:f>IF(A75="","",IF(AND(OR(T75="Closed",T75="Accepted"),OR(AC75="",Z75&lt;&gt;"Evidence reviewed",AA75="",NOT(ISNUMBER(AB75)))),"Closure review needed",IF(OR(Y75="",Z75="",AA75="",NOT(ISNUMBER(AB75))),"Add assessment support",IF(AB75&lt;=0,"Add assessment support","Notes present"))))</x:f>
      </x:c>
    </x:row>
    <x:row r="76" ht="36" customHeight="1">
      <x:c r="A76" s="40"/>
      <x:c r="B76" s="40"/>
      <x:c r="C76" s="40"/>
      <x:c r="D76" s="40"/>
      <x:c r="E76" s="40"/>
      <x:c r="F76" s="40"/>
      <x:c r="G76" s="40"/>
      <x:c r="H76" s="40"/>
      <x:c r="I76" s="41" t="str">
        <x:f>IF(A76="","",IF(COUNT(G76,H76)&lt;&gt;2,"",IF(AND(G76&gt;=1,G76&lt;=5,H76&gt;=1,H76&lt;=5,MOD(G76,1)=0,MOD(H76,1)=0),G76*H76,"")))</x:f>
      </x:c>
      <x:c r="J76" s="41" t="str">
        <x:f>IF(A76="","",IF(ISNUMBER(I76),IF(I76&gt;=16,"Critical",IF(I76&gt;=10,"High",IF(I76&gt;=5,"Medium","Low"))),"Not assessed"))</x:f>
      </x:c>
      <x:c r="K76" s="40"/>
      <x:c r="L76" s="40"/>
      <x:c r="M76" s="40"/>
      <x:c r="N76" s="40"/>
      <x:c r="O76" s="41" t="str">
        <x:f>IF(A76="","",IF(COUNT(M76,N76)&lt;&gt;2,"",IF(AND(M76&gt;=1,M76&lt;=5,N76&gt;=1,N76&lt;=5,MOD(M76,1)=0,MOD(N76,1)=0),M76*N76,"")))</x:f>
      </x:c>
      <x:c r="P76" s="41" t="str">
        <x:f>IF(A76="","",IF(ISNUMBER(O76),IF(O76&gt;=16,"Critical",IF(O76&gt;=10,"High",IF(O76&gt;=5,"Medium","Low"))),"Not assessed"))</x:f>
      </x:c>
      <x:c r="Q76" s="40"/>
      <x:c r="R76" s="40"/>
      <x:c r="S76" s="40"/>
      <x:c r="T76" s="40"/>
      <x:c r="U76" s="42"/>
      <x:c r="V76" s="40"/>
      <x:c r="W76" s="40"/>
      <x:c r="X76" s="40"/>
      <x:c r="Y76" s="92"/>
      <x:c r="Z76" s="92"/>
      <x:c r="AA76" s="92"/>
      <x:c r="AB76" s="97"/>
      <x:c r="AC76" s="92"/>
      <x:c r="AD76" s="96" t="str">
        <x:f>IF(COUNTA(A76:H76,K76:N76,Q76:AC76)=0,"",IF(A76="","Missing ID",IF(COUNTIF($A$5:$A$104,A76)&gt;1,"Duplicate ID",IF(OR(C76="",D76="",E76="",F76=""),"Missing risk context",IF(OR(NOT(ISNUMBER(I76)),NOT(ISNUMBER(O76))),"Incomplete or invalid scores",IF(OR(Q76="",S76="",T76=""),"Missing treatment or owner",IF(NOT(ISNUMBER(U76)),"Missing or invalid target date",IF(U76&lt;=0,"Missing or invalid target date","OK"))))))))</x:f>
      </x:c>
      <x:c r="AE76" s="96" t="str">
        <x:f>IF(A76="","",IF(AND(OR(T76="Closed",T76="Accepted"),OR(AC76="",Z76&lt;&gt;"Evidence reviewed",AA76="",NOT(ISNUMBER(AB76)))),"Closure review needed",IF(OR(Y76="",Z76="",AA76="",NOT(ISNUMBER(AB76))),"Add assessment support",IF(AB76&lt;=0,"Add assessment support","Notes present"))))</x:f>
      </x:c>
    </x:row>
    <x:row r="77" ht="36" customHeight="1">
      <x:c r="A77" s="40"/>
      <x:c r="B77" s="40"/>
      <x:c r="C77" s="40"/>
      <x:c r="D77" s="40"/>
      <x:c r="E77" s="40"/>
      <x:c r="F77" s="40"/>
      <x:c r="G77" s="40"/>
      <x:c r="H77" s="40"/>
      <x:c r="I77" s="41" t="str">
        <x:f>IF(A77="","",IF(COUNT(G77,H77)&lt;&gt;2,"",IF(AND(G77&gt;=1,G77&lt;=5,H77&gt;=1,H77&lt;=5,MOD(G77,1)=0,MOD(H77,1)=0),G77*H77,"")))</x:f>
      </x:c>
      <x:c r="J77" s="41" t="str">
        <x:f>IF(A77="","",IF(ISNUMBER(I77),IF(I77&gt;=16,"Critical",IF(I77&gt;=10,"High",IF(I77&gt;=5,"Medium","Low"))),"Not assessed"))</x:f>
      </x:c>
      <x:c r="K77" s="40"/>
      <x:c r="L77" s="40"/>
      <x:c r="M77" s="40"/>
      <x:c r="N77" s="40"/>
      <x:c r="O77" s="41" t="str">
        <x:f>IF(A77="","",IF(COUNT(M77,N77)&lt;&gt;2,"",IF(AND(M77&gt;=1,M77&lt;=5,N77&gt;=1,N77&lt;=5,MOD(M77,1)=0,MOD(N77,1)=0),M77*N77,"")))</x:f>
      </x:c>
      <x:c r="P77" s="41" t="str">
        <x:f>IF(A77="","",IF(ISNUMBER(O77),IF(O77&gt;=16,"Critical",IF(O77&gt;=10,"High",IF(O77&gt;=5,"Medium","Low"))),"Not assessed"))</x:f>
      </x:c>
      <x:c r="Q77" s="40"/>
      <x:c r="R77" s="40"/>
      <x:c r="S77" s="40"/>
      <x:c r="T77" s="40"/>
      <x:c r="U77" s="42"/>
      <x:c r="V77" s="40"/>
      <x:c r="W77" s="40"/>
      <x:c r="X77" s="40"/>
      <x:c r="Y77" s="92"/>
      <x:c r="Z77" s="92"/>
      <x:c r="AA77" s="92"/>
      <x:c r="AB77" s="97"/>
      <x:c r="AC77" s="92"/>
      <x:c r="AD77" s="96" t="str">
        <x:f>IF(COUNTA(A77:H77,K77:N77,Q77:AC77)=0,"",IF(A77="","Missing ID",IF(COUNTIF($A$5:$A$104,A77)&gt;1,"Duplicate ID",IF(OR(C77="",D77="",E77="",F77=""),"Missing risk context",IF(OR(NOT(ISNUMBER(I77)),NOT(ISNUMBER(O77))),"Incomplete or invalid scores",IF(OR(Q77="",S77="",T77=""),"Missing treatment or owner",IF(NOT(ISNUMBER(U77)),"Missing or invalid target date",IF(U77&lt;=0,"Missing or invalid target date","OK"))))))))</x:f>
      </x:c>
      <x:c r="AE77" s="96" t="str">
        <x:f>IF(A77="","",IF(AND(OR(T77="Closed",T77="Accepted"),OR(AC77="",Z77&lt;&gt;"Evidence reviewed",AA77="",NOT(ISNUMBER(AB77)))),"Closure review needed",IF(OR(Y77="",Z77="",AA77="",NOT(ISNUMBER(AB77))),"Add assessment support",IF(AB77&lt;=0,"Add assessment support","Notes present"))))</x:f>
      </x:c>
    </x:row>
    <x:row r="78" ht="36" customHeight="1">
      <x:c r="A78" s="40"/>
      <x:c r="B78" s="40"/>
      <x:c r="C78" s="40"/>
      <x:c r="D78" s="40"/>
      <x:c r="E78" s="40"/>
      <x:c r="F78" s="40"/>
      <x:c r="G78" s="40"/>
      <x:c r="H78" s="40"/>
      <x:c r="I78" s="41" t="str">
        <x:f>IF(A78="","",IF(COUNT(G78,H78)&lt;&gt;2,"",IF(AND(G78&gt;=1,G78&lt;=5,H78&gt;=1,H78&lt;=5,MOD(G78,1)=0,MOD(H78,1)=0),G78*H78,"")))</x:f>
      </x:c>
      <x:c r="J78" s="41" t="str">
        <x:f>IF(A78="","",IF(ISNUMBER(I78),IF(I78&gt;=16,"Critical",IF(I78&gt;=10,"High",IF(I78&gt;=5,"Medium","Low"))),"Not assessed"))</x:f>
      </x:c>
      <x:c r="K78" s="40"/>
      <x:c r="L78" s="40"/>
      <x:c r="M78" s="40"/>
      <x:c r="N78" s="40"/>
      <x:c r="O78" s="41" t="str">
        <x:f>IF(A78="","",IF(COUNT(M78,N78)&lt;&gt;2,"",IF(AND(M78&gt;=1,M78&lt;=5,N78&gt;=1,N78&lt;=5,MOD(M78,1)=0,MOD(N78,1)=0),M78*N78,"")))</x:f>
      </x:c>
      <x:c r="P78" s="41" t="str">
        <x:f>IF(A78="","",IF(ISNUMBER(O78),IF(O78&gt;=16,"Critical",IF(O78&gt;=10,"High",IF(O78&gt;=5,"Medium","Low"))),"Not assessed"))</x:f>
      </x:c>
      <x:c r="Q78" s="40"/>
      <x:c r="R78" s="40"/>
      <x:c r="S78" s="40"/>
      <x:c r="T78" s="40"/>
      <x:c r="U78" s="42"/>
      <x:c r="V78" s="40"/>
      <x:c r="W78" s="40"/>
      <x:c r="X78" s="40"/>
      <x:c r="Y78" s="92"/>
      <x:c r="Z78" s="92"/>
      <x:c r="AA78" s="92"/>
      <x:c r="AB78" s="97"/>
      <x:c r="AC78" s="92"/>
      <x:c r="AD78" s="96" t="str">
        <x:f>IF(COUNTA(A78:H78,K78:N78,Q78:AC78)=0,"",IF(A78="","Missing ID",IF(COUNTIF($A$5:$A$104,A78)&gt;1,"Duplicate ID",IF(OR(C78="",D78="",E78="",F78=""),"Missing risk context",IF(OR(NOT(ISNUMBER(I78)),NOT(ISNUMBER(O78))),"Incomplete or invalid scores",IF(OR(Q78="",S78="",T78=""),"Missing treatment or owner",IF(NOT(ISNUMBER(U78)),"Missing or invalid target date",IF(U78&lt;=0,"Missing or invalid target date","OK"))))))))</x:f>
      </x:c>
      <x:c r="AE78" s="96" t="str">
        <x:f>IF(A78="","",IF(AND(OR(T78="Closed",T78="Accepted"),OR(AC78="",Z78&lt;&gt;"Evidence reviewed",AA78="",NOT(ISNUMBER(AB78)))),"Closure review needed",IF(OR(Y78="",Z78="",AA78="",NOT(ISNUMBER(AB78))),"Add assessment support",IF(AB78&lt;=0,"Add assessment support","Notes present"))))</x:f>
      </x:c>
    </x:row>
    <x:row r="79" ht="36" customHeight="1">
      <x:c r="A79" s="40"/>
      <x:c r="B79" s="40"/>
      <x:c r="C79" s="40"/>
      <x:c r="D79" s="40"/>
      <x:c r="E79" s="40"/>
      <x:c r="F79" s="40"/>
      <x:c r="G79" s="40"/>
      <x:c r="H79" s="40"/>
      <x:c r="I79" s="41" t="str">
        <x:f>IF(A79="","",IF(COUNT(G79,H79)&lt;&gt;2,"",IF(AND(G79&gt;=1,G79&lt;=5,H79&gt;=1,H79&lt;=5,MOD(G79,1)=0,MOD(H79,1)=0),G79*H79,"")))</x:f>
      </x:c>
      <x:c r="J79" s="41" t="str">
        <x:f>IF(A79="","",IF(ISNUMBER(I79),IF(I79&gt;=16,"Critical",IF(I79&gt;=10,"High",IF(I79&gt;=5,"Medium","Low"))),"Not assessed"))</x:f>
      </x:c>
      <x:c r="K79" s="40"/>
      <x:c r="L79" s="40"/>
      <x:c r="M79" s="40"/>
      <x:c r="N79" s="40"/>
      <x:c r="O79" s="41" t="str">
        <x:f>IF(A79="","",IF(COUNT(M79,N79)&lt;&gt;2,"",IF(AND(M79&gt;=1,M79&lt;=5,N79&gt;=1,N79&lt;=5,MOD(M79,1)=0,MOD(N79,1)=0),M79*N79,"")))</x:f>
      </x:c>
      <x:c r="P79" s="41" t="str">
        <x:f>IF(A79="","",IF(ISNUMBER(O79),IF(O79&gt;=16,"Critical",IF(O79&gt;=10,"High",IF(O79&gt;=5,"Medium","Low"))),"Not assessed"))</x:f>
      </x:c>
      <x:c r="Q79" s="40"/>
      <x:c r="R79" s="40"/>
      <x:c r="S79" s="40"/>
      <x:c r="T79" s="40"/>
      <x:c r="U79" s="42"/>
      <x:c r="V79" s="40"/>
      <x:c r="W79" s="40"/>
      <x:c r="X79" s="40"/>
      <x:c r="Y79" s="92"/>
      <x:c r="Z79" s="92"/>
      <x:c r="AA79" s="92"/>
      <x:c r="AB79" s="97"/>
      <x:c r="AC79" s="92"/>
      <x:c r="AD79" s="96" t="str">
        <x:f>IF(COUNTA(A79:H79,K79:N79,Q79:AC79)=0,"",IF(A79="","Missing ID",IF(COUNTIF($A$5:$A$104,A79)&gt;1,"Duplicate ID",IF(OR(C79="",D79="",E79="",F79=""),"Missing risk context",IF(OR(NOT(ISNUMBER(I79)),NOT(ISNUMBER(O79))),"Incomplete or invalid scores",IF(OR(Q79="",S79="",T79=""),"Missing treatment or owner",IF(NOT(ISNUMBER(U79)),"Missing or invalid target date",IF(U79&lt;=0,"Missing or invalid target date","OK"))))))))</x:f>
      </x:c>
      <x:c r="AE79" s="96" t="str">
        <x:f>IF(A79="","",IF(AND(OR(T79="Closed",T79="Accepted"),OR(AC79="",Z79&lt;&gt;"Evidence reviewed",AA79="",NOT(ISNUMBER(AB79)))),"Closure review needed",IF(OR(Y79="",Z79="",AA79="",NOT(ISNUMBER(AB79))),"Add assessment support",IF(AB79&lt;=0,"Add assessment support","Notes present"))))</x:f>
      </x:c>
    </x:row>
    <x:row r="80" ht="36" customHeight="1">
      <x:c r="A80" s="40"/>
      <x:c r="B80" s="40"/>
      <x:c r="C80" s="40"/>
      <x:c r="D80" s="40"/>
      <x:c r="E80" s="40"/>
      <x:c r="F80" s="40"/>
      <x:c r="G80" s="40"/>
      <x:c r="H80" s="40"/>
      <x:c r="I80" s="41" t="str">
        <x:f>IF(A80="","",IF(COUNT(G80,H80)&lt;&gt;2,"",IF(AND(G80&gt;=1,G80&lt;=5,H80&gt;=1,H80&lt;=5,MOD(G80,1)=0,MOD(H80,1)=0),G80*H80,"")))</x:f>
      </x:c>
      <x:c r="J80" s="41" t="str">
        <x:f>IF(A80="","",IF(ISNUMBER(I80),IF(I80&gt;=16,"Critical",IF(I80&gt;=10,"High",IF(I80&gt;=5,"Medium","Low"))),"Not assessed"))</x:f>
      </x:c>
      <x:c r="K80" s="40"/>
      <x:c r="L80" s="40"/>
      <x:c r="M80" s="40"/>
      <x:c r="N80" s="40"/>
      <x:c r="O80" s="41" t="str">
        <x:f>IF(A80="","",IF(COUNT(M80,N80)&lt;&gt;2,"",IF(AND(M80&gt;=1,M80&lt;=5,N80&gt;=1,N80&lt;=5,MOD(M80,1)=0,MOD(N80,1)=0),M80*N80,"")))</x:f>
      </x:c>
      <x:c r="P80" s="41" t="str">
        <x:f>IF(A80="","",IF(ISNUMBER(O80),IF(O80&gt;=16,"Critical",IF(O80&gt;=10,"High",IF(O80&gt;=5,"Medium","Low"))),"Not assessed"))</x:f>
      </x:c>
      <x:c r="Q80" s="40"/>
      <x:c r="R80" s="40"/>
      <x:c r="S80" s="40"/>
      <x:c r="T80" s="40"/>
      <x:c r="U80" s="42"/>
      <x:c r="V80" s="40"/>
      <x:c r="W80" s="40"/>
      <x:c r="X80" s="40"/>
      <x:c r="Y80" s="92"/>
      <x:c r="Z80" s="92"/>
      <x:c r="AA80" s="92"/>
      <x:c r="AB80" s="97"/>
      <x:c r="AC80" s="92"/>
      <x:c r="AD80" s="96" t="str">
        <x:f>IF(COUNTA(A80:H80,K80:N80,Q80:AC80)=0,"",IF(A80="","Missing ID",IF(COUNTIF($A$5:$A$104,A80)&gt;1,"Duplicate ID",IF(OR(C80="",D80="",E80="",F80=""),"Missing risk context",IF(OR(NOT(ISNUMBER(I80)),NOT(ISNUMBER(O80))),"Incomplete or invalid scores",IF(OR(Q80="",S80="",T80=""),"Missing treatment or owner",IF(NOT(ISNUMBER(U80)),"Missing or invalid target date",IF(U80&lt;=0,"Missing or invalid target date","OK"))))))))</x:f>
      </x:c>
      <x:c r="AE80" s="96" t="str">
        <x:f>IF(A80="","",IF(AND(OR(T80="Closed",T80="Accepted"),OR(AC80="",Z80&lt;&gt;"Evidence reviewed",AA80="",NOT(ISNUMBER(AB80)))),"Closure review needed",IF(OR(Y80="",Z80="",AA80="",NOT(ISNUMBER(AB80))),"Add assessment support",IF(AB80&lt;=0,"Add assessment support","Notes present"))))</x:f>
      </x:c>
    </x:row>
    <x:row r="81" ht="36" customHeight="1">
      <x:c r="A81" s="40"/>
      <x:c r="B81" s="40"/>
      <x:c r="C81" s="40"/>
      <x:c r="D81" s="40"/>
      <x:c r="E81" s="40"/>
      <x:c r="F81" s="40"/>
      <x:c r="G81" s="40"/>
      <x:c r="H81" s="40"/>
      <x:c r="I81" s="41" t="str">
        <x:f>IF(A81="","",IF(COUNT(G81,H81)&lt;&gt;2,"",IF(AND(G81&gt;=1,G81&lt;=5,H81&gt;=1,H81&lt;=5,MOD(G81,1)=0,MOD(H81,1)=0),G81*H81,"")))</x:f>
      </x:c>
      <x:c r="J81" s="41" t="str">
        <x:f>IF(A81="","",IF(ISNUMBER(I81),IF(I81&gt;=16,"Critical",IF(I81&gt;=10,"High",IF(I81&gt;=5,"Medium","Low"))),"Not assessed"))</x:f>
      </x:c>
      <x:c r="K81" s="40"/>
      <x:c r="L81" s="40"/>
      <x:c r="M81" s="40"/>
      <x:c r="N81" s="40"/>
      <x:c r="O81" s="41" t="str">
        <x:f>IF(A81="","",IF(COUNT(M81,N81)&lt;&gt;2,"",IF(AND(M81&gt;=1,M81&lt;=5,N81&gt;=1,N81&lt;=5,MOD(M81,1)=0,MOD(N81,1)=0),M81*N81,"")))</x:f>
      </x:c>
      <x:c r="P81" s="41" t="str">
        <x:f>IF(A81="","",IF(ISNUMBER(O81),IF(O81&gt;=16,"Critical",IF(O81&gt;=10,"High",IF(O81&gt;=5,"Medium","Low"))),"Not assessed"))</x:f>
      </x:c>
      <x:c r="Q81" s="40"/>
      <x:c r="R81" s="40"/>
      <x:c r="S81" s="40"/>
      <x:c r="T81" s="40"/>
      <x:c r="U81" s="42"/>
      <x:c r="V81" s="40"/>
      <x:c r="W81" s="40"/>
      <x:c r="X81" s="40"/>
      <x:c r="Y81" s="92"/>
      <x:c r="Z81" s="92"/>
      <x:c r="AA81" s="92"/>
      <x:c r="AB81" s="97"/>
      <x:c r="AC81" s="92"/>
      <x:c r="AD81" s="96" t="str">
        <x:f>IF(COUNTA(A81:H81,K81:N81,Q81:AC81)=0,"",IF(A81="","Missing ID",IF(COUNTIF($A$5:$A$104,A81)&gt;1,"Duplicate ID",IF(OR(C81="",D81="",E81="",F81=""),"Missing risk context",IF(OR(NOT(ISNUMBER(I81)),NOT(ISNUMBER(O81))),"Incomplete or invalid scores",IF(OR(Q81="",S81="",T81=""),"Missing treatment or owner",IF(NOT(ISNUMBER(U81)),"Missing or invalid target date",IF(U81&lt;=0,"Missing or invalid target date","OK"))))))))</x:f>
      </x:c>
      <x:c r="AE81" s="96" t="str">
        <x:f>IF(A81="","",IF(AND(OR(T81="Closed",T81="Accepted"),OR(AC81="",Z81&lt;&gt;"Evidence reviewed",AA81="",NOT(ISNUMBER(AB81)))),"Closure review needed",IF(OR(Y81="",Z81="",AA81="",NOT(ISNUMBER(AB81))),"Add assessment support",IF(AB81&lt;=0,"Add assessment support","Notes present"))))</x:f>
      </x:c>
    </x:row>
    <x:row r="82" ht="36" customHeight="1">
      <x:c r="A82" s="40"/>
      <x:c r="B82" s="40"/>
      <x:c r="C82" s="40"/>
      <x:c r="D82" s="40"/>
      <x:c r="E82" s="40"/>
      <x:c r="F82" s="40"/>
      <x:c r="G82" s="40"/>
      <x:c r="H82" s="40"/>
      <x:c r="I82" s="41" t="str">
        <x:f>IF(A82="","",IF(COUNT(G82,H82)&lt;&gt;2,"",IF(AND(G82&gt;=1,G82&lt;=5,H82&gt;=1,H82&lt;=5,MOD(G82,1)=0,MOD(H82,1)=0),G82*H82,"")))</x:f>
      </x:c>
      <x:c r="J82" s="41" t="str">
        <x:f>IF(A82="","",IF(ISNUMBER(I82),IF(I82&gt;=16,"Critical",IF(I82&gt;=10,"High",IF(I82&gt;=5,"Medium","Low"))),"Not assessed"))</x:f>
      </x:c>
      <x:c r="K82" s="40"/>
      <x:c r="L82" s="40"/>
      <x:c r="M82" s="40"/>
      <x:c r="N82" s="40"/>
      <x:c r="O82" s="41" t="str">
        <x:f>IF(A82="","",IF(COUNT(M82,N82)&lt;&gt;2,"",IF(AND(M82&gt;=1,M82&lt;=5,N82&gt;=1,N82&lt;=5,MOD(M82,1)=0,MOD(N82,1)=0),M82*N82,"")))</x:f>
      </x:c>
      <x:c r="P82" s="41" t="str">
        <x:f>IF(A82="","",IF(ISNUMBER(O82),IF(O82&gt;=16,"Critical",IF(O82&gt;=10,"High",IF(O82&gt;=5,"Medium","Low"))),"Not assessed"))</x:f>
      </x:c>
      <x:c r="Q82" s="40"/>
      <x:c r="R82" s="40"/>
      <x:c r="S82" s="40"/>
      <x:c r="T82" s="40"/>
      <x:c r="U82" s="42"/>
      <x:c r="V82" s="40"/>
      <x:c r="W82" s="40"/>
      <x:c r="X82" s="40"/>
      <x:c r="Y82" s="92"/>
      <x:c r="Z82" s="92"/>
      <x:c r="AA82" s="92"/>
      <x:c r="AB82" s="97"/>
      <x:c r="AC82" s="92"/>
      <x:c r="AD82" s="96" t="str">
        <x:f>IF(COUNTA(A82:H82,K82:N82,Q82:AC82)=0,"",IF(A82="","Missing ID",IF(COUNTIF($A$5:$A$104,A82)&gt;1,"Duplicate ID",IF(OR(C82="",D82="",E82="",F82=""),"Missing risk context",IF(OR(NOT(ISNUMBER(I82)),NOT(ISNUMBER(O82))),"Incomplete or invalid scores",IF(OR(Q82="",S82="",T82=""),"Missing treatment or owner",IF(NOT(ISNUMBER(U82)),"Missing or invalid target date",IF(U82&lt;=0,"Missing or invalid target date","OK"))))))))</x:f>
      </x:c>
      <x:c r="AE82" s="96" t="str">
        <x:f>IF(A82="","",IF(AND(OR(T82="Closed",T82="Accepted"),OR(AC82="",Z82&lt;&gt;"Evidence reviewed",AA82="",NOT(ISNUMBER(AB82)))),"Closure review needed",IF(OR(Y82="",Z82="",AA82="",NOT(ISNUMBER(AB82))),"Add assessment support",IF(AB82&lt;=0,"Add assessment support","Notes present"))))</x:f>
      </x:c>
    </x:row>
    <x:row r="83" ht="36" customHeight="1">
      <x:c r="A83" s="40"/>
      <x:c r="B83" s="40"/>
      <x:c r="C83" s="40"/>
      <x:c r="D83" s="40"/>
      <x:c r="E83" s="40"/>
      <x:c r="F83" s="40"/>
      <x:c r="G83" s="40"/>
      <x:c r="H83" s="40"/>
      <x:c r="I83" s="41" t="str">
        <x:f>IF(A83="","",IF(COUNT(G83,H83)&lt;&gt;2,"",IF(AND(G83&gt;=1,G83&lt;=5,H83&gt;=1,H83&lt;=5,MOD(G83,1)=0,MOD(H83,1)=0),G83*H83,"")))</x:f>
      </x:c>
      <x:c r="J83" s="41" t="str">
        <x:f>IF(A83="","",IF(ISNUMBER(I83),IF(I83&gt;=16,"Critical",IF(I83&gt;=10,"High",IF(I83&gt;=5,"Medium","Low"))),"Not assessed"))</x:f>
      </x:c>
      <x:c r="K83" s="40"/>
      <x:c r="L83" s="40"/>
      <x:c r="M83" s="40"/>
      <x:c r="N83" s="40"/>
      <x:c r="O83" s="41" t="str">
        <x:f>IF(A83="","",IF(COUNT(M83,N83)&lt;&gt;2,"",IF(AND(M83&gt;=1,M83&lt;=5,N83&gt;=1,N83&lt;=5,MOD(M83,1)=0,MOD(N83,1)=0),M83*N83,"")))</x:f>
      </x:c>
      <x:c r="P83" s="41" t="str">
        <x:f>IF(A83="","",IF(ISNUMBER(O83),IF(O83&gt;=16,"Critical",IF(O83&gt;=10,"High",IF(O83&gt;=5,"Medium","Low"))),"Not assessed"))</x:f>
      </x:c>
      <x:c r="Q83" s="40"/>
      <x:c r="R83" s="40"/>
      <x:c r="S83" s="40"/>
      <x:c r="T83" s="40"/>
      <x:c r="U83" s="42"/>
      <x:c r="V83" s="40"/>
      <x:c r="W83" s="40"/>
      <x:c r="X83" s="40"/>
      <x:c r="Y83" s="92"/>
      <x:c r="Z83" s="92"/>
      <x:c r="AA83" s="92"/>
      <x:c r="AB83" s="97"/>
      <x:c r="AC83" s="92"/>
      <x:c r="AD83" s="96" t="str">
        <x:f>IF(COUNTA(A83:H83,K83:N83,Q83:AC83)=0,"",IF(A83="","Missing ID",IF(COUNTIF($A$5:$A$104,A83)&gt;1,"Duplicate ID",IF(OR(C83="",D83="",E83="",F83=""),"Missing risk context",IF(OR(NOT(ISNUMBER(I83)),NOT(ISNUMBER(O83))),"Incomplete or invalid scores",IF(OR(Q83="",S83="",T83=""),"Missing treatment or owner",IF(NOT(ISNUMBER(U83)),"Missing or invalid target date",IF(U83&lt;=0,"Missing or invalid target date","OK"))))))))</x:f>
      </x:c>
      <x:c r="AE83" s="96" t="str">
        <x:f>IF(A83="","",IF(AND(OR(T83="Closed",T83="Accepted"),OR(AC83="",Z83&lt;&gt;"Evidence reviewed",AA83="",NOT(ISNUMBER(AB83)))),"Closure review needed",IF(OR(Y83="",Z83="",AA83="",NOT(ISNUMBER(AB83))),"Add assessment support",IF(AB83&lt;=0,"Add assessment support","Notes present"))))</x:f>
      </x:c>
    </x:row>
    <x:row r="84" ht="36" customHeight="1">
      <x:c r="A84" s="40"/>
      <x:c r="B84" s="40"/>
      <x:c r="C84" s="40"/>
      <x:c r="D84" s="40"/>
      <x:c r="E84" s="40"/>
      <x:c r="F84" s="40"/>
      <x:c r="G84" s="40"/>
      <x:c r="H84" s="40"/>
      <x:c r="I84" s="41" t="str">
        <x:f>IF(A84="","",IF(COUNT(G84,H84)&lt;&gt;2,"",IF(AND(G84&gt;=1,G84&lt;=5,H84&gt;=1,H84&lt;=5,MOD(G84,1)=0,MOD(H84,1)=0),G84*H84,"")))</x:f>
      </x:c>
      <x:c r="J84" s="41" t="str">
        <x:f>IF(A84="","",IF(ISNUMBER(I84),IF(I84&gt;=16,"Critical",IF(I84&gt;=10,"High",IF(I84&gt;=5,"Medium","Low"))),"Not assessed"))</x:f>
      </x:c>
      <x:c r="K84" s="40"/>
      <x:c r="L84" s="40"/>
      <x:c r="M84" s="40"/>
      <x:c r="N84" s="40"/>
      <x:c r="O84" s="41" t="str">
        <x:f>IF(A84="","",IF(COUNT(M84,N84)&lt;&gt;2,"",IF(AND(M84&gt;=1,M84&lt;=5,N84&gt;=1,N84&lt;=5,MOD(M84,1)=0,MOD(N84,1)=0),M84*N84,"")))</x:f>
      </x:c>
      <x:c r="P84" s="41" t="str">
        <x:f>IF(A84="","",IF(ISNUMBER(O84),IF(O84&gt;=16,"Critical",IF(O84&gt;=10,"High",IF(O84&gt;=5,"Medium","Low"))),"Not assessed"))</x:f>
      </x:c>
      <x:c r="Q84" s="40"/>
      <x:c r="R84" s="40"/>
      <x:c r="S84" s="40"/>
      <x:c r="T84" s="40"/>
      <x:c r="U84" s="42"/>
      <x:c r="V84" s="40"/>
      <x:c r="W84" s="40"/>
      <x:c r="X84" s="40"/>
      <x:c r="Y84" s="92"/>
      <x:c r="Z84" s="92"/>
      <x:c r="AA84" s="92"/>
      <x:c r="AB84" s="97"/>
      <x:c r="AC84" s="92"/>
      <x:c r="AD84" s="96" t="str">
        <x:f>IF(COUNTA(A84:H84,K84:N84,Q84:AC84)=0,"",IF(A84="","Missing ID",IF(COUNTIF($A$5:$A$104,A84)&gt;1,"Duplicate ID",IF(OR(C84="",D84="",E84="",F84=""),"Missing risk context",IF(OR(NOT(ISNUMBER(I84)),NOT(ISNUMBER(O84))),"Incomplete or invalid scores",IF(OR(Q84="",S84="",T84=""),"Missing treatment or owner",IF(NOT(ISNUMBER(U84)),"Missing or invalid target date",IF(U84&lt;=0,"Missing or invalid target date","OK"))))))))</x:f>
      </x:c>
      <x:c r="AE84" s="96" t="str">
        <x:f>IF(A84="","",IF(AND(OR(T84="Closed",T84="Accepted"),OR(AC84="",Z84&lt;&gt;"Evidence reviewed",AA84="",NOT(ISNUMBER(AB84)))),"Closure review needed",IF(OR(Y84="",Z84="",AA84="",NOT(ISNUMBER(AB84))),"Add assessment support",IF(AB84&lt;=0,"Add assessment support","Notes present"))))</x:f>
      </x:c>
    </x:row>
    <x:row r="85" ht="36" customHeight="1">
      <x:c r="A85" s="40"/>
      <x:c r="B85" s="40"/>
      <x:c r="C85" s="40"/>
      <x:c r="D85" s="40"/>
      <x:c r="E85" s="40"/>
      <x:c r="F85" s="40"/>
      <x:c r="G85" s="40"/>
      <x:c r="H85" s="40"/>
      <x:c r="I85" s="41" t="str">
        <x:f>IF(A85="","",IF(COUNT(G85,H85)&lt;&gt;2,"",IF(AND(G85&gt;=1,G85&lt;=5,H85&gt;=1,H85&lt;=5,MOD(G85,1)=0,MOD(H85,1)=0),G85*H85,"")))</x:f>
      </x:c>
      <x:c r="J85" s="41" t="str">
        <x:f>IF(A85="","",IF(ISNUMBER(I85),IF(I85&gt;=16,"Critical",IF(I85&gt;=10,"High",IF(I85&gt;=5,"Medium","Low"))),"Not assessed"))</x:f>
      </x:c>
      <x:c r="K85" s="40"/>
      <x:c r="L85" s="40"/>
      <x:c r="M85" s="40"/>
      <x:c r="N85" s="40"/>
      <x:c r="O85" s="41" t="str">
        <x:f>IF(A85="","",IF(COUNT(M85,N85)&lt;&gt;2,"",IF(AND(M85&gt;=1,M85&lt;=5,N85&gt;=1,N85&lt;=5,MOD(M85,1)=0,MOD(N85,1)=0),M85*N85,"")))</x:f>
      </x:c>
      <x:c r="P85" s="41" t="str">
        <x:f>IF(A85="","",IF(ISNUMBER(O85),IF(O85&gt;=16,"Critical",IF(O85&gt;=10,"High",IF(O85&gt;=5,"Medium","Low"))),"Not assessed"))</x:f>
      </x:c>
      <x:c r="Q85" s="40"/>
      <x:c r="R85" s="40"/>
      <x:c r="S85" s="40"/>
      <x:c r="T85" s="40"/>
      <x:c r="U85" s="42"/>
      <x:c r="V85" s="40"/>
      <x:c r="W85" s="40"/>
      <x:c r="X85" s="40"/>
      <x:c r="Y85" s="92"/>
      <x:c r="Z85" s="92"/>
      <x:c r="AA85" s="92"/>
      <x:c r="AB85" s="97"/>
      <x:c r="AC85" s="92"/>
      <x:c r="AD85" s="96" t="str">
        <x:f>IF(COUNTA(A85:H85,K85:N85,Q85:AC85)=0,"",IF(A85="","Missing ID",IF(COUNTIF($A$5:$A$104,A85)&gt;1,"Duplicate ID",IF(OR(C85="",D85="",E85="",F85=""),"Missing risk context",IF(OR(NOT(ISNUMBER(I85)),NOT(ISNUMBER(O85))),"Incomplete or invalid scores",IF(OR(Q85="",S85="",T85=""),"Missing treatment or owner",IF(NOT(ISNUMBER(U85)),"Missing or invalid target date",IF(U85&lt;=0,"Missing or invalid target date","OK"))))))))</x:f>
      </x:c>
      <x:c r="AE85" s="96" t="str">
        <x:f>IF(A85="","",IF(AND(OR(T85="Closed",T85="Accepted"),OR(AC85="",Z85&lt;&gt;"Evidence reviewed",AA85="",NOT(ISNUMBER(AB85)))),"Closure review needed",IF(OR(Y85="",Z85="",AA85="",NOT(ISNUMBER(AB85))),"Add assessment support",IF(AB85&lt;=0,"Add assessment support","Notes present"))))</x:f>
      </x:c>
    </x:row>
    <x:row r="86" ht="36" customHeight="1">
      <x:c r="A86" s="40"/>
      <x:c r="B86" s="40"/>
      <x:c r="C86" s="40"/>
      <x:c r="D86" s="40"/>
      <x:c r="E86" s="40"/>
      <x:c r="F86" s="40"/>
      <x:c r="G86" s="40"/>
      <x:c r="H86" s="40"/>
      <x:c r="I86" s="41" t="str">
        <x:f>IF(A86="","",IF(COUNT(G86,H86)&lt;&gt;2,"",IF(AND(G86&gt;=1,G86&lt;=5,H86&gt;=1,H86&lt;=5,MOD(G86,1)=0,MOD(H86,1)=0),G86*H86,"")))</x:f>
      </x:c>
      <x:c r="J86" s="41" t="str">
        <x:f>IF(A86="","",IF(ISNUMBER(I86),IF(I86&gt;=16,"Critical",IF(I86&gt;=10,"High",IF(I86&gt;=5,"Medium","Low"))),"Not assessed"))</x:f>
      </x:c>
      <x:c r="K86" s="40"/>
      <x:c r="L86" s="40"/>
      <x:c r="M86" s="40"/>
      <x:c r="N86" s="40"/>
      <x:c r="O86" s="41" t="str">
        <x:f>IF(A86="","",IF(COUNT(M86,N86)&lt;&gt;2,"",IF(AND(M86&gt;=1,M86&lt;=5,N86&gt;=1,N86&lt;=5,MOD(M86,1)=0,MOD(N86,1)=0),M86*N86,"")))</x:f>
      </x:c>
      <x:c r="P86" s="41" t="str">
        <x:f>IF(A86="","",IF(ISNUMBER(O86),IF(O86&gt;=16,"Critical",IF(O86&gt;=10,"High",IF(O86&gt;=5,"Medium","Low"))),"Not assessed"))</x:f>
      </x:c>
      <x:c r="Q86" s="40"/>
      <x:c r="R86" s="40"/>
      <x:c r="S86" s="40"/>
      <x:c r="T86" s="40"/>
      <x:c r="U86" s="42"/>
      <x:c r="V86" s="40"/>
      <x:c r="W86" s="40"/>
      <x:c r="X86" s="40"/>
      <x:c r="Y86" s="92"/>
      <x:c r="Z86" s="92"/>
      <x:c r="AA86" s="92"/>
      <x:c r="AB86" s="97"/>
      <x:c r="AC86" s="92"/>
      <x:c r="AD86" s="96" t="str">
        <x:f>IF(COUNTA(A86:H86,K86:N86,Q86:AC86)=0,"",IF(A86="","Missing ID",IF(COUNTIF($A$5:$A$104,A86)&gt;1,"Duplicate ID",IF(OR(C86="",D86="",E86="",F86=""),"Missing risk context",IF(OR(NOT(ISNUMBER(I86)),NOT(ISNUMBER(O86))),"Incomplete or invalid scores",IF(OR(Q86="",S86="",T86=""),"Missing treatment or owner",IF(NOT(ISNUMBER(U86)),"Missing or invalid target date",IF(U86&lt;=0,"Missing or invalid target date","OK"))))))))</x:f>
      </x:c>
      <x:c r="AE86" s="96" t="str">
        <x:f>IF(A86="","",IF(AND(OR(T86="Closed",T86="Accepted"),OR(AC86="",Z86&lt;&gt;"Evidence reviewed",AA86="",NOT(ISNUMBER(AB86)))),"Closure review needed",IF(OR(Y86="",Z86="",AA86="",NOT(ISNUMBER(AB86))),"Add assessment support",IF(AB86&lt;=0,"Add assessment support","Notes present"))))</x:f>
      </x:c>
    </x:row>
    <x:row r="87" ht="36" customHeight="1">
      <x:c r="A87" s="40"/>
      <x:c r="B87" s="40"/>
      <x:c r="C87" s="40"/>
      <x:c r="D87" s="40"/>
      <x:c r="E87" s="40"/>
      <x:c r="F87" s="40"/>
      <x:c r="G87" s="40"/>
      <x:c r="H87" s="40"/>
      <x:c r="I87" s="41" t="str">
        <x:f>IF(A87="","",IF(COUNT(G87,H87)&lt;&gt;2,"",IF(AND(G87&gt;=1,G87&lt;=5,H87&gt;=1,H87&lt;=5,MOD(G87,1)=0,MOD(H87,1)=0),G87*H87,"")))</x:f>
      </x:c>
      <x:c r="J87" s="41" t="str">
        <x:f>IF(A87="","",IF(ISNUMBER(I87),IF(I87&gt;=16,"Critical",IF(I87&gt;=10,"High",IF(I87&gt;=5,"Medium","Low"))),"Not assessed"))</x:f>
      </x:c>
      <x:c r="K87" s="40"/>
      <x:c r="L87" s="40"/>
      <x:c r="M87" s="40"/>
      <x:c r="N87" s="40"/>
      <x:c r="O87" s="41" t="str">
        <x:f>IF(A87="","",IF(COUNT(M87,N87)&lt;&gt;2,"",IF(AND(M87&gt;=1,M87&lt;=5,N87&gt;=1,N87&lt;=5,MOD(M87,1)=0,MOD(N87,1)=0),M87*N87,"")))</x:f>
      </x:c>
      <x:c r="P87" s="41" t="str">
        <x:f>IF(A87="","",IF(ISNUMBER(O87),IF(O87&gt;=16,"Critical",IF(O87&gt;=10,"High",IF(O87&gt;=5,"Medium","Low"))),"Not assessed"))</x:f>
      </x:c>
      <x:c r="Q87" s="40"/>
      <x:c r="R87" s="40"/>
      <x:c r="S87" s="40"/>
      <x:c r="T87" s="40"/>
      <x:c r="U87" s="42"/>
      <x:c r="V87" s="40"/>
      <x:c r="W87" s="40"/>
      <x:c r="X87" s="40"/>
      <x:c r="Y87" s="92"/>
      <x:c r="Z87" s="92"/>
      <x:c r="AA87" s="92"/>
      <x:c r="AB87" s="97"/>
      <x:c r="AC87" s="92"/>
      <x:c r="AD87" s="96" t="str">
        <x:f>IF(COUNTA(A87:H87,K87:N87,Q87:AC87)=0,"",IF(A87="","Missing ID",IF(COUNTIF($A$5:$A$104,A87)&gt;1,"Duplicate ID",IF(OR(C87="",D87="",E87="",F87=""),"Missing risk context",IF(OR(NOT(ISNUMBER(I87)),NOT(ISNUMBER(O87))),"Incomplete or invalid scores",IF(OR(Q87="",S87="",T87=""),"Missing treatment or owner",IF(NOT(ISNUMBER(U87)),"Missing or invalid target date",IF(U87&lt;=0,"Missing or invalid target date","OK"))))))))</x:f>
      </x:c>
      <x:c r="AE87" s="96" t="str">
        <x:f>IF(A87="","",IF(AND(OR(T87="Closed",T87="Accepted"),OR(AC87="",Z87&lt;&gt;"Evidence reviewed",AA87="",NOT(ISNUMBER(AB87)))),"Closure review needed",IF(OR(Y87="",Z87="",AA87="",NOT(ISNUMBER(AB87))),"Add assessment support",IF(AB87&lt;=0,"Add assessment support","Notes present"))))</x:f>
      </x:c>
    </x:row>
    <x:row r="88" ht="36" customHeight="1">
      <x:c r="A88" s="40"/>
      <x:c r="B88" s="40"/>
      <x:c r="C88" s="40"/>
      <x:c r="D88" s="40"/>
      <x:c r="E88" s="40"/>
      <x:c r="F88" s="40"/>
      <x:c r="G88" s="40"/>
      <x:c r="H88" s="40"/>
      <x:c r="I88" s="41" t="str">
        <x:f>IF(A88="","",IF(COUNT(G88,H88)&lt;&gt;2,"",IF(AND(G88&gt;=1,G88&lt;=5,H88&gt;=1,H88&lt;=5,MOD(G88,1)=0,MOD(H88,1)=0),G88*H88,"")))</x:f>
      </x:c>
      <x:c r="J88" s="41" t="str">
        <x:f>IF(A88="","",IF(ISNUMBER(I88),IF(I88&gt;=16,"Critical",IF(I88&gt;=10,"High",IF(I88&gt;=5,"Medium","Low"))),"Not assessed"))</x:f>
      </x:c>
      <x:c r="K88" s="40"/>
      <x:c r="L88" s="40"/>
      <x:c r="M88" s="40"/>
      <x:c r="N88" s="40"/>
      <x:c r="O88" s="41" t="str">
        <x:f>IF(A88="","",IF(COUNT(M88,N88)&lt;&gt;2,"",IF(AND(M88&gt;=1,M88&lt;=5,N88&gt;=1,N88&lt;=5,MOD(M88,1)=0,MOD(N88,1)=0),M88*N88,"")))</x:f>
      </x:c>
      <x:c r="P88" s="41" t="str">
        <x:f>IF(A88="","",IF(ISNUMBER(O88),IF(O88&gt;=16,"Critical",IF(O88&gt;=10,"High",IF(O88&gt;=5,"Medium","Low"))),"Not assessed"))</x:f>
      </x:c>
      <x:c r="Q88" s="40"/>
      <x:c r="R88" s="40"/>
      <x:c r="S88" s="40"/>
      <x:c r="T88" s="40"/>
      <x:c r="U88" s="42"/>
      <x:c r="V88" s="40"/>
      <x:c r="W88" s="40"/>
      <x:c r="X88" s="40"/>
      <x:c r="Y88" s="92"/>
      <x:c r="Z88" s="92"/>
      <x:c r="AA88" s="92"/>
      <x:c r="AB88" s="97"/>
      <x:c r="AC88" s="92"/>
      <x:c r="AD88" s="96" t="str">
        <x:f>IF(COUNTA(A88:H88,K88:N88,Q88:AC88)=0,"",IF(A88="","Missing ID",IF(COUNTIF($A$5:$A$104,A88)&gt;1,"Duplicate ID",IF(OR(C88="",D88="",E88="",F88=""),"Missing risk context",IF(OR(NOT(ISNUMBER(I88)),NOT(ISNUMBER(O88))),"Incomplete or invalid scores",IF(OR(Q88="",S88="",T88=""),"Missing treatment or owner",IF(NOT(ISNUMBER(U88)),"Missing or invalid target date",IF(U88&lt;=0,"Missing or invalid target date","OK"))))))))</x:f>
      </x:c>
      <x:c r="AE88" s="96" t="str">
        <x:f>IF(A88="","",IF(AND(OR(T88="Closed",T88="Accepted"),OR(AC88="",Z88&lt;&gt;"Evidence reviewed",AA88="",NOT(ISNUMBER(AB88)))),"Closure review needed",IF(OR(Y88="",Z88="",AA88="",NOT(ISNUMBER(AB88))),"Add assessment support",IF(AB88&lt;=0,"Add assessment support","Notes present"))))</x:f>
      </x:c>
    </x:row>
    <x:row r="89" ht="36" customHeight="1">
      <x:c r="A89" s="40"/>
      <x:c r="B89" s="40"/>
      <x:c r="C89" s="40"/>
      <x:c r="D89" s="40"/>
      <x:c r="E89" s="40"/>
      <x:c r="F89" s="40"/>
      <x:c r="G89" s="40"/>
      <x:c r="H89" s="40"/>
      <x:c r="I89" s="41" t="str">
        <x:f>IF(A89="","",IF(COUNT(G89,H89)&lt;&gt;2,"",IF(AND(G89&gt;=1,G89&lt;=5,H89&gt;=1,H89&lt;=5,MOD(G89,1)=0,MOD(H89,1)=0),G89*H89,"")))</x:f>
      </x:c>
      <x:c r="J89" s="41" t="str">
        <x:f>IF(A89="","",IF(ISNUMBER(I89),IF(I89&gt;=16,"Critical",IF(I89&gt;=10,"High",IF(I89&gt;=5,"Medium","Low"))),"Not assessed"))</x:f>
      </x:c>
      <x:c r="K89" s="40"/>
      <x:c r="L89" s="40"/>
      <x:c r="M89" s="40"/>
      <x:c r="N89" s="40"/>
      <x:c r="O89" s="41" t="str">
        <x:f>IF(A89="","",IF(COUNT(M89,N89)&lt;&gt;2,"",IF(AND(M89&gt;=1,M89&lt;=5,N89&gt;=1,N89&lt;=5,MOD(M89,1)=0,MOD(N89,1)=0),M89*N89,"")))</x:f>
      </x:c>
      <x:c r="P89" s="41" t="str">
        <x:f>IF(A89="","",IF(ISNUMBER(O89),IF(O89&gt;=16,"Critical",IF(O89&gt;=10,"High",IF(O89&gt;=5,"Medium","Low"))),"Not assessed"))</x:f>
      </x:c>
      <x:c r="Q89" s="40"/>
      <x:c r="R89" s="40"/>
      <x:c r="S89" s="40"/>
      <x:c r="T89" s="40"/>
      <x:c r="U89" s="42"/>
      <x:c r="V89" s="40"/>
      <x:c r="W89" s="40"/>
      <x:c r="X89" s="40"/>
      <x:c r="Y89" s="92"/>
      <x:c r="Z89" s="92"/>
      <x:c r="AA89" s="92"/>
      <x:c r="AB89" s="97"/>
      <x:c r="AC89" s="92"/>
      <x:c r="AD89" s="96" t="str">
        <x:f>IF(COUNTA(A89:H89,K89:N89,Q89:AC89)=0,"",IF(A89="","Missing ID",IF(COUNTIF($A$5:$A$104,A89)&gt;1,"Duplicate ID",IF(OR(C89="",D89="",E89="",F89=""),"Missing risk context",IF(OR(NOT(ISNUMBER(I89)),NOT(ISNUMBER(O89))),"Incomplete or invalid scores",IF(OR(Q89="",S89="",T89=""),"Missing treatment or owner",IF(NOT(ISNUMBER(U89)),"Missing or invalid target date",IF(U89&lt;=0,"Missing or invalid target date","OK"))))))))</x:f>
      </x:c>
      <x:c r="AE89" s="96" t="str">
        <x:f>IF(A89="","",IF(AND(OR(T89="Closed",T89="Accepted"),OR(AC89="",Z89&lt;&gt;"Evidence reviewed",AA89="",NOT(ISNUMBER(AB89)))),"Closure review needed",IF(OR(Y89="",Z89="",AA89="",NOT(ISNUMBER(AB89))),"Add assessment support",IF(AB89&lt;=0,"Add assessment support","Notes present"))))</x:f>
      </x:c>
    </x:row>
    <x:row r="90" ht="36" customHeight="1">
      <x:c r="A90" s="40"/>
      <x:c r="B90" s="40"/>
      <x:c r="C90" s="40"/>
      <x:c r="D90" s="40"/>
      <x:c r="E90" s="40"/>
      <x:c r="F90" s="40"/>
      <x:c r="G90" s="40"/>
      <x:c r="H90" s="40"/>
      <x:c r="I90" s="41" t="str">
        <x:f>IF(A90="","",IF(COUNT(G90,H90)&lt;&gt;2,"",IF(AND(G90&gt;=1,G90&lt;=5,H90&gt;=1,H90&lt;=5,MOD(G90,1)=0,MOD(H90,1)=0),G90*H90,"")))</x:f>
      </x:c>
      <x:c r="J90" s="41" t="str">
        <x:f>IF(A90="","",IF(ISNUMBER(I90),IF(I90&gt;=16,"Critical",IF(I90&gt;=10,"High",IF(I90&gt;=5,"Medium","Low"))),"Not assessed"))</x:f>
      </x:c>
      <x:c r="K90" s="40"/>
      <x:c r="L90" s="40"/>
      <x:c r="M90" s="40"/>
      <x:c r="N90" s="40"/>
      <x:c r="O90" s="41" t="str">
        <x:f>IF(A90="","",IF(COUNT(M90,N90)&lt;&gt;2,"",IF(AND(M90&gt;=1,M90&lt;=5,N90&gt;=1,N90&lt;=5,MOD(M90,1)=0,MOD(N90,1)=0),M90*N90,"")))</x:f>
      </x:c>
      <x:c r="P90" s="41" t="str">
        <x:f>IF(A90="","",IF(ISNUMBER(O90),IF(O90&gt;=16,"Critical",IF(O90&gt;=10,"High",IF(O90&gt;=5,"Medium","Low"))),"Not assessed"))</x:f>
      </x:c>
      <x:c r="Q90" s="40"/>
      <x:c r="R90" s="40"/>
      <x:c r="S90" s="40"/>
      <x:c r="T90" s="40"/>
      <x:c r="U90" s="42"/>
      <x:c r="V90" s="40"/>
      <x:c r="W90" s="40"/>
      <x:c r="X90" s="40"/>
      <x:c r="Y90" s="92"/>
      <x:c r="Z90" s="92"/>
      <x:c r="AA90" s="92"/>
      <x:c r="AB90" s="97"/>
      <x:c r="AC90" s="92"/>
      <x:c r="AD90" s="96" t="str">
        <x:f>IF(COUNTA(A90:H90,K90:N90,Q90:AC90)=0,"",IF(A90="","Missing ID",IF(COUNTIF($A$5:$A$104,A90)&gt;1,"Duplicate ID",IF(OR(C90="",D90="",E90="",F90=""),"Missing risk context",IF(OR(NOT(ISNUMBER(I90)),NOT(ISNUMBER(O90))),"Incomplete or invalid scores",IF(OR(Q90="",S90="",T90=""),"Missing treatment or owner",IF(NOT(ISNUMBER(U90)),"Missing or invalid target date",IF(U90&lt;=0,"Missing or invalid target date","OK"))))))))</x:f>
      </x:c>
      <x:c r="AE90" s="96" t="str">
        <x:f>IF(A90="","",IF(AND(OR(T90="Closed",T90="Accepted"),OR(AC90="",Z90&lt;&gt;"Evidence reviewed",AA90="",NOT(ISNUMBER(AB90)))),"Closure review needed",IF(OR(Y90="",Z90="",AA90="",NOT(ISNUMBER(AB90))),"Add assessment support",IF(AB90&lt;=0,"Add assessment support","Notes present"))))</x:f>
      </x:c>
    </x:row>
    <x:row r="91" ht="36" customHeight="1">
      <x:c r="A91" s="40"/>
      <x:c r="B91" s="40"/>
      <x:c r="C91" s="40"/>
      <x:c r="D91" s="40"/>
      <x:c r="E91" s="40"/>
      <x:c r="F91" s="40"/>
      <x:c r="G91" s="40"/>
      <x:c r="H91" s="40"/>
      <x:c r="I91" s="41" t="str">
        <x:f>IF(A91="","",IF(COUNT(G91,H91)&lt;&gt;2,"",IF(AND(G91&gt;=1,G91&lt;=5,H91&gt;=1,H91&lt;=5,MOD(G91,1)=0,MOD(H91,1)=0),G91*H91,"")))</x:f>
      </x:c>
      <x:c r="J91" s="41" t="str">
        <x:f>IF(A91="","",IF(ISNUMBER(I91),IF(I91&gt;=16,"Critical",IF(I91&gt;=10,"High",IF(I91&gt;=5,"Medium","Low"))),"Not assessed"))</x:f>
      </x:c>
      <x:c r="K91" s="40"/>
      <x:c r="L91" s="40"/>
      <x:c r="M91" s="40"/>
      <x:c r="N91" s="40"/>
      <x:c r="O91" s="41" t="str">
        <x:f>IF(A91="","",IF(COUNT(M91,N91)&lt;&gt;2,"",IF(AND(M91&gt;=1,M91&lt;=5,N91&gt;=1,N91&lt;=5,MOD(M91,1)=0,MOD(N91,1)=0),M91*N91,"")))</x:f>
      </x:c>
      <x:c r="P91" s="41" t="str">
        <x:f>IF(A91="","",IF(ISNUMBER(O91),IF(O91&gt;=16,"Critical",IF(O91&gt;=10,"High",IF(O91&gt;=5,"Medium","Low"))),"Not assessed"))</x:f>
      </x:c>
      <x:c r="Q91" s="40"/>
      <x:c r="R91" s="40"/>
      <x:c r="S91" s="40"/>
      <x:c r="T91" s="40"/>
      <x:c r="U91" s="42"/>
      <x:c r="V91" s="40"/>
      <x:c r="W91" s="40"/>
      <x:c r="X91" s="40"/>
      <x:c r="Y91" s="92"/>
      <x:c r="Z91" s="92"/>
      <x:c r="AA91" s="92"/>
      <x:c r="AB91" s="97"/>
      <x:c r="AC91" s="92"/>
      <x:c r="AD91" s="96" t="str">
        <x:f>IF(COUNTA(A91:H91,K91:N91,Q91:AC91)=0,"",IF(A91="","Missing ID",IF(COUNTIF($A$5:$A$104,A91)&gt;1,"Duplicate ID",IF(OR(C91="",D91="",E91="",F91=""),"Missing risk context",IF(OR(NOT(ISNUMBER(I91)),NOT(ISNUMBER(O91))),"Incomplete or invalid scores",IF(OR(Q91="",S91="",T91=""),"Missing treatment or owner",IF(NOT(ISNUMBER(U91)),"Missing or invalid target date",IF(U91&lt;=0,"Missing or invalid target date","OK"))))))))</x:f>
      </x:c>
      <x:c r="AE91" s="96" t="str">
        <x:f>IF(A91="","",IF(AND(OR(T91="Closed",T91="Accepted"),OR(AC91="",Z91&lt;&gt;"Evidence reviewed",AA91="",NOT(ISNUMBER(AB91)))),"Closure review needed",IF(OR(Y91="",Z91="",AA91="",NOT(ISNUMBER(AB91))),"Add assessment support",IF(AB91&lt;=0,"Add assessment support","Notes present"))))</x:f>
      </x:c>
    </x:row>
    <x:row r="92" ht="36" customHeight="1">
      <x:c r="A92" s="40"/>
      <x:c r="B92" s="40"/>
      <x:c r="C92" s="40"/>
      <x:c r="D92" s="40"/>
      <x:c r="E92" s="40"/>
      <x:c r="F92" s="40"/>
      <x:c r="G92" s="40"/>
      <x:c r="H92" s="40"/>
      <x:c r="I92" s="41" t="str">
        <x:f>IF(A92="","",IF(COUNT(G92,H92)&lt;&gt;2,"",IF(AND(G92&gt;=1,G92&lt;=5,H92&gt;=1,H92&lt;=5,MOD(G92,1)=0,MOD(H92,1)=0),G92*H92,"")))</x:f>
      </x:c>
      <x:c r="J92" s="41" t="str">
        <x:f>IF(A92="","",IF(ISNUMBER(I92),IF(I92&gt;=16,"Critical",IF(I92&gt;=10,"High",IF(I92&gt;=5,"Medium","Low"))),"Not assessed"))</x:f>
      </x:c>
      <x:c r="K92" s="40"/>
      <x:c r="L92" s="40"/>
      <x:c r="M92" s="40"/>
      <x:c r="N92" s="40"/>
      <x:c r="O92" s="41" t="str">
        <x:f>IF(A92="","",IF(COUNT(M92,N92)&lt;&gt;2,"",IF(AND(M92&gt;=1,M92&lt;=5,N92&gt;=1,N92&lt;=5,MOD(M92,1)=0,MOD(N92,1)=0),M92*N92,"")))</x:f>
      </x:c>
      <x:c r="P92" s="41" t="str">
        <x:f>IF(A92="","",IF(ISNUMBER(O92),IF(O92&gt;=16,"Critical",IF(O92&gt;=10,"High",IF(O92&gt;=5,"Medium","Low"))),"Not assessed"))</x:f>
      </x:c>
      <x:c r="Q92" s="40"/>
      <x:c r="R92" s="40"/>
      <x:c r="S92" s="40"/>
      <x:c r="T92" s="40"/>
      <x:c r="U92" s="42"/>
      <x:c r="V92" s="40"/>
      <x:c r="W92" s="40"/>
      <x:c r="X92" s="40"/>
      <x:c r="Y92" s="92"/>
      <x:c r="Z92" s="92"/>
      <x:c r="AA92" s="92"/>
      <x:c r="AB92" s="97"/>
      <x:c r="AC92" s="92"/>
      <x:c r="AD92" s="96" t="str">
        <x:f>IF(COUNTA(A92:H92,K92:N92,Q92:AC92)=0,"",IF(A92="","Missing ID",IF(COUNTIF($A$5:$A$104,A92)&gt;1,"Duplicate ID",IF(OR(C92="",D92="",E92="",F92=""),"Missing risk context",IF(OR(NOT(ISNUMBER(I92)),NOT(ISNUMBER(O92))),"Incomplete or invalid scores",IF(OR(Q92="",S92="",T92=""),"Missing treatment or owner",IF(NOT(ISNUMBER(U92)),"Missing or invalid target date",IF(U92&lt;=0,"Missing or invalid target date","OK"))))))))</x:f>
      </x:c>
      <x:c r="AE92" s="96" t="str">
        <x:f>IF(A92="","",IF(AND(OR(T92="Closed",T92="Accepted"),OR(AC92="",Z92&lt;&gt;"Evidence reviewed",AA92="",NOT(ISNUMBER(AB92)))),"Closure review needed",IF(OR(Y92="",Z92="",AA92="",NOT(ISNUMBER(AB92))),"Add assessment support",IF(AB92&lt;=0,"Add assessment support","Notes present"))))</x:f>
      </x:c>
    </x:row>
    <x:row r="93" ht="36" customHeight="1">
      <x:c r="A93" s="40"/>
      <x:c r="B93" s="40"/>
      <x:c r="C93" s="40"/>
      <x:c r="D93" s="40"/>
      <x:c r="E93" s="40"/>
      <x:c r="F93" s="40"/>
      <x:c r="G93" s="40"/>
      <x:c r="H93" s="40"/>
      <x:c r="I93" s="41" t="str">
        <x:f>IF(A93="","",IF(COUNT(G93,H93)&lt;&gt;2,"",IF(AND(G93&gt;=1,G93&lt;=5,H93&gt;=1,H93&lt;=5,MOD(G93,1)=0,MOD(H93,1)=0),G93*H93,"")))</x:f>
      </x:c>
      <x:c r="J93" s="41" t="str">
        <x:f>IF(A93="","",IF(ISNUMBER(I93),IF(I93&gt;=16,"Critical",IF(I93&gt;=10,"High",IF(I93&gt;=5,"Medium","Low"))),"Not assessed"))</x:f>
      </x:c>
      <x:c r="K93" s="40"/>
      <x:c r="L93" s="40"/>
      <x:c r="M93" s="40"/>
      <x:c r="N93" s="40"/>
      <x:c r="O93" s="41" t="str">
        <x:f>IF(A93="","",IF(COUNT(M93,N93)&lt;&gt;2,"",IF(AND(M93&gt;=1,M93&lt;=5,N93&gt;=1,N93&lt;=5,MOD(M93,1)=0,MOD(N93,1)=0),M93*N93,"")))</x:f>
      </x:c>
      <x:c r="P93" s="41" t="str">
        <x:f>IF(A93="","",IF(ISNUMBER(O93),IF(O93&gt;=16,"Critical",IF(O93&gt;=10,"High",IF(O93&gt;=5,"Medium","Low"))),"Not assessed"))</x:f>
      </x:c>
      <x:c r="Q93" s="40"/>
      <x:c r="R93" s="40"/>
      <x:c r="S93" s="40"/>
      <x:c r="T93" s="40"/>
      <x:c r="U93" s="42"/>
      <x:c r="V93" s="40"/>
      <x:c r="W93" s="40"/>
      <x:c r="X93" s="40"/>
      <x:c r="Y93" s="92"/>
      <x:c r="Z93" s="92"/>
      <x:c r="AA93" s="92"/>
      <x:c r="AB93" s="97"/>
      <x:c r="AC93" s="92"/>
      <x:c r="AD93" s="96" t="str">
        <x:f>IF(COUNTA(A93:H93,K93:N93,Q93:AC93)=0,"",IF(A93="","Missing ID",IF(COUNTIF($A$5:$A$104,A93)&gt;1,"Duplicate ID",IF(OR(C93="",D93="",E93="",F93=""),"Missing risk context",IF(OR(NOT(ISNUMBER(I93)),NOT(ISNUMBER(O93))),"Incomplete or invalid scores",IF(OR(Q93="",S93="",T93=""),"Missing treatment or owner",IF(NOT(ISNUMBER(U93)),"Missing or invalid target date",IF(U93&lt;=0,"Missing or invalid target date","OK"))))))))</x:f>
      </x:c>
      <x:c r="AE93" s="96" t="str">
        <x:f>IF(A93="","",IF(AND(OR(T93="Closed",T93="Accepted"),OR(AC93="",Z93&lt;&gt;"Evidence reviewed",AA93="",NOT(ISNUMBER(AB93)))),"Closure review needed",IF(OR(Y93="",Z93="",AA93="",NOT(ISNUMBER(AB93))),"Add assessment support",IF(AB93&lt;=0,"Add assessment support","Notes present"))))</x:f>
      </x:c>
    </x:row>
    <x:row r="94" ht="36" customHeight="1">
      <x:c r="A94" s="40"/>
      <x:c r="B94" s="40"/>
      <x:c r="C94" s="40"/>
      <x:c r="D94" s="40"/>
      <x:c r="E94" s="40"/>
      <x:c r="F94" s="40"/>
      <x:c r="G94" s="40"/>
      <x:c r="H94" s="40"/>
      <x:c r="I94" s="41" t="str">
        <x:f>IF(A94="","",IF(COUNT(G94,H94)&lt;&gt;2,"",IF(AND(G94&gt;=1,G94&lt;=5,H94&gt;=1,H94&lt;=5,MOD(G94,1)=0,MOD(H94,1)=0),G94*H94,"")))</x:f>
      </x:c>
      <x:c r="J94" s="41" t="str">
        <x:f>IF(A94="","",IF(ISNUMBER(I94),IF(I94&gt;=16,"Critical",IF(I94&gt;=10,"High",IF(I94&gt;=5,"Medium","Low"))),"Not assessed"))</x:f>
      </x:c>
      <x:c r="K94" s="40"/>
      <x:c r="L94" s="40"/>
      <x:c r="M94" s="40"/>
      <x:c r="N94" s="40"/>
      <x:c r="O94" s="41" t="str">
        <x:f>IF(A94="","",IF(COUNT(M94,N94)&lt;&gt;2,"",IF(AND(M94&gt;=1,M94&lt;=5,N94&gt;=1,N94&lt;=5,MOD(M94,1)=0,MOD(N94,1)=0),M94*N94,"")))</x:f>
      </x:c>
      <x:c r="P94" s="41" t="str">
        <x:f>IF(A94="","",IF(ISNUMBER(O94),IF(O94&gt;=16,"Critical",IF(O94&gt;=10,"High",IF(O94&gt;=5,"Medium","Low"))),"Not assessed"))</x:f>
      </x:c>
      <x:c r="Q94" s="40"/>
      <x:c r="R94" s="40"/>
      <x:c r="S94" s="40"/>
      <x:c r="T94" s="40"/>
      <x:c r="U94" s="42"/>
      <x:c r="V94" s="40"/>
      <x:c r="W94" s="40"/>
      <x:c r="X94" s="40"/>
      <x:c r="Y94" s="92"/>
      <x:c r="Z94" s="92"/>
      <x:c r="AA94" s="92"/>
      <x:c r="AB94" s="97"/>
      <x:c r="AC94" s="92"/>
      <x:c r="AD94" s="96" t="str">
        <x:f>IF(COUNTA(A94:H94,K94:N94,Q94:AC94)=0,"",IF(A94="","Missing ID",IF(COUNTIF($A$5:$A$104,A94)&gt;1,"Duplicate ID",IF(OR(C94="",D94="",E94="",F94=""),"Missing risk context",IF(OR(NOT(ISNUMBER(I94)),NOT(ISNUMBER(O94))),"Incomplete or invalid scores",IF(OR(Q94="",S94="",T94=""),"Missing treatment or owner",IF(NOT(ISNUMBER(U94)),"Missing or invalid target date",IF(U94&lt;=0,"Missing or invalid target date","OK"))))))))</x:f>
      </x:c>
      <x:c r="AE94" s="96" t="str">
        <x:f>IF(A94="","",IF(AND(OR(T94="Closed",T94="Accepted"),OR(AC94="",Z94&lt;&gt;"Evidence reviewed",AA94="",NOT(ISNUMBER(AB94)))),"Closure review needed",IF(OR(Y94="",Z94="",AA94="",NOT(ISNUMBER(AB94))),"Add assessment support",IF(AB94&lt;=0,"Add assessment support","Notes present"))))</x:f>
      </x:c>
    </x:row>
    <x:row r="95" ht="36" customHeight="1">
      <x:c r="A95" s="40"/>
      <x:c r="B95" s="40"/>
      <x:c r="C95" s="40"/>
      <x:c r="D95" s="40"/>
      <x:c r="E95" s="40"/>
      <x:c r="F95" s="40"/>
      <x:c r="G95" s="40"/>
      <x:c r="H95" s="40"/>
      <x:c r="I95" s="41" t="str">
        <x:f>IF(A95="","",IF(COUNT(G95,H95)&lt;&gt;2,"",IF(AND(G95&gt;=1,G95&lt;=5,H95&gt;=1,H95&lt;=5,MOD(G95,1)=0,MOD(H95,1)=0),G95*H95,"")))</x:f>
      </x:c>
      <x:c r="J95" s="41" t="str">
        <x:f>IF(A95="","",IF(ISNUMBER(I95),IF(I95&gt;=16,"Critical",IF(I95&gt;=10,"High",IF(I95&gt;=5,"Medium","Low"))),"Not assessed"))</x:f>
      </x:c>
      <x:c r="K95" s="40"/>
      <x:c r="L95" s="40"/>
      <x:c r="M95" s="40"/>
      <x:c r="N95" s="40"/>
      <x:c r="O95" s="41" t="str">
        <x:f>IF(A95="","",IF(COUNT(M95,N95)&lt;&gt;2,"",IF(AND(M95&gt;=1,M95&lt;=5,N95&gt;=1,N95&lt;=5,MOD(M95,1)=0,MOD(N95,1)=0),M95*N95,"")))</x:f>
      </x:c>
      <x:c r="P95" s="41" t="str">
        <x:f>IF(A95="","",IF(ISNUMBER(O95),IF(O95&gt;=16,"Critical",IF(O95&gt;=10,"High",IF(O95&gt;=5,"Medium","Low"))),"Not assessed"))</x:f>
      </x:c>
      <x:c r="Q95" s="40"/>
      <x:c r="R95" s="40"/>
      <x:c r="S95" s="40"/>
      <x:c r="T95" s="40"/>
      <x:c r="U95" s="42"/>
      <x:c r="V95" s="40"/>
      <x:c r="W95" s="40"/>
      <x:c r="X95" s="40"/>
      <x:c r="Y95" s="92"/>
      <x:c r="Z95" s="92"/>
      <x:c r="AA95" s="92"/>
      <x:c r="AB95" s="97"/>
      <x:c r="AC95" s="92"/>
      <x:c r="AD95" s="96" t="str">
        <x:f>IF(COUNTA(A95:H95,K95:N95,Q95:AC95)=0,"",IF(A95="","Missing ID",IF(COUNTIF($A$5:$A$104,A95)&gt;1,"Duplicate ID",IF(OR(C95="",D95="",E95="",F95=""),"Missing risk context",IF(OR(NOT(ISNUMBER(I95)),NOT(ISNUMBER(O95))),"Incomplete or invalid scores",IF(OR(Q95="",S95="",T95=""),"Missing treatment or owner",IF(NOT(ISNUMBER(U95)),"Missing or invalid target date",IF(U95&lt;=0,"Missing or invalid target date","OK"))))))))</x:f>
      </x:c>
      <x:c r="AE95" s="96" t="str">
        <x:f>IF(A95="","",IF(AND(OR(T95="Closed",T95="Accepted"),OR(AC95="",Z95&lt;&gt;"Evidence reviewed",AA95="",NOT(ISNUMBER(AB95)))),"Closure review needed",IF(OR(Y95="",Z95="",AA95="",NOT(ISNUMBER(AB95))),"Add assessment support",IF(AB95&lt;=0,"Add assessment support","Notes present"))))</x:f>
      </x:c>
    </x:row>
    <x:row r="96" ht="36" customHeight="1">
      <x:c r="A96" s="40"/>
      <x:c r="B96" s="40"/>
      <x:c r="C96" s="40"/>
      <x:c r="D96" s="40"/>
      <x:c r="E96" s="40"/>
      <x:c r="F96" s="40"/>
      <x:c r="G96" s="40"/>
      <x:c r="H96" s="40"/>
      <x:c r="I96" s="41" t="str">
        <x:f>IF(A96="","",IF(COUNT(G96,H96)&lt;&gt;2,"",IF(AND(G96&gt;=1,G96&lt;=5,H96&gt;=1,H96&lt;=5,MOD(G96,1)=0,MOD(H96,1)=0),G96*H96,"")))</x:f>
      </x:c>
      <x:c r="J96" s="41" t="str">
        <x:f>IF(A96="","",IF(ISNUMBER(I96),IF(I96&gt;=16,"Critical",IF(I96&gt;=10,"High",IF(I96&gt;=5,"Medium","Low"))),"Not assessed"))</x:f>
      </x:c>
      <x:c r="K96" s="40"/>
      <x:c r="L96" s="40"/>
      <x:c r="M96" s="40"/>
      <x:c r="N96" s="40"/>
      <x:c r="O96" s="41" t="str">
        <x:f>IF(A96="","",IF(COUNT(M96,N96)&lt;&gt;2,"",IF(AND(M96&gt;=1,M96&lt;=5,N96&gt;=1,N96&lt;=5,MOD(M96,1)=0,MOD(N96,1)=0),M96*N96,"")))</x:f>
      </x:c>
      <x:c r="P96" s="41" t="str">
        <x:f>IF(A96="","",IF(ISNUMBER(O96),IF(O96&gt;=16,"Critical",IF(O96&gt;=10,"High",IF(O96&gt;=5,"Medium","Low"))),"Not assessed"))</x:f>
      </x:c>
      <x:c r="Q96" s="40"/>
      <x:c r="R96" s="40"/>
      <x:c r="S96" s="40"/>
      <x:c r="T96" s="40"/>
      <x:c r="U96" s="42"/>
      <x:c r="V96" s="40"/>
      <x:c r="W96" s="40"/>
      <x:c r="X96" s="40"/>
      <x:c r="Y96" s="92"/>
      <x:c r="Z96" s="92"/>
      <x:c r="AA96" s="92"/>
      <x:c r="AB96" s="97"/>
      <x:c r="AC96" s="92"/>
      <x:c r="AD96" s="96" t="str">
        <x:f>IF(COUNTA(A96:H96,K96:N96,Q96:AC96)=0,"",IF(A96="","Missing ID",IF(COUNTIF($A$5:$A$104,A96)&gt;1,"Duplicate ID",IF(OR(C96="",D96="",E96="",F96=""),"Missing risk context",IF(OR(NOT(ISNUMBER(I96)),NOT(ISNUMBER(O96))),"Incomplete or invalid scores",IF(OR(Q96="",S96="",T96=""),"Missing treatment or owner",IF(NOT(ISNUMBER(U96)),"Missing or invalid target date",IF(U96&lt;=0,"Missing or invalid target date","OK"))))))))</x:f>
      </x:c>
      <x:c r="AE96" s="96" t="str">
        <x:f>IF(A96="","",IF(AND(OR(T96="Closed",T96="Accepted"),OR(AC96="",Z96&lt;&gt;"Evidence reviewed",AA96="",NOT(ISNUMBER(AB96)))),"Closure review needed",IF(OR(Y96="",Z96="",AA96="",NOT(ISNUMBER(AB96))),"Add assessment support",IF(AB96&lt;=0,"Add assessment support","Notes present"))))</x:f>
      </x:c>
    </x:row>
    <x:row r="97" ht="36" customHeight="1">
      <x:c r="A97" s="40"/>
      <x:c r="B97" s="40"/>
      <x:c r="C97" s="40"/>
      <x:c r="D97" s="40"/>
      <x:c r="E97" s="40"/>
      <x:c r="F97" s="40"/>
      <x:c r="G97" s="40"/>
      <x:c r="H97" s="40"/>
      <x:c r="I97" s="41" t="str">
        <x:f>IF(A97="","",IF(COUNT(G97,H97)&lt;&gt;2,"",IF(AND(G97&gt;=1,G97&lt;=5,H97&gt;=1,H97&lt;=5,MOD(G97,1)=0,MOD(H97,1)=0),G97*H97,"")))</x:f>
      </x:c>
      <x:c r="J97" s="41" t="str">
        <x:f>IF(A97="","",IF(ISNUMBER(I97),IF(I97&gt;=16,"Critical",IF(I97&gt;=10,"High",IF(I97&gt;=5,"Medium","Low"))),"Not assessed"))</x:f>
      </x:c>
      <x:c r="K97" s="40"/>
      <x:c r="L97" s="40"/>
      <x:c r="M97" s="40"/>
      <x:c r="N97" s="40"/>
      <x:c r="O97" s="41" t="str">
        <x:f>IF(A97="","",IF(COUNT(M97,N97)&lt;&gt;2,"",IF(AND(M97&gt;=1,M97&lt;=5,N97&gt;=1,N97&lt;=5,MOD(M97,1)=0,MOD(N97,1)=0),M97*N97,"")))</x:f>
      </x:c>
      <x:c r="P97" s="41" t="str">
        <x:f>IF(A97="","",IF(ISNUMBER(O97),IF(O97&gt;=16,"Critical",IF(O97&gt;=10,"High",IF(O97&gt;=5,"Medium","Low"))),"Not assessed"))</x:f>
      </x:c>
      <x:c r="Q97" s="40"/>
      <x:c r="R97" s="40"/>
      <x:c r="S97" s="40"/>
      <x:c r="T97" s="40"/>
      <x:c r="U97" s="42"/>
      <x:c r="V97" s="40"/>
      <x:c r="W97" s="40"/>
      <x:c r="X97" s="40"/>
      <x:c r="Y97" s="92"/>
      <x:c r="Z97" s="92"/>
      <x:c r="AA97" s="92"/>
      <x:c r="AB97" s="97"/>
      <x:c r="AC97" s="92"/>
      <x:c r="AD97" s="96" t="str">
        <x:f>IF(COUNTA(A97:H97,K97:N97,Q97:AC97)=0,"",IF(A97="","Missing ID",IF(COUNTIF($A$5:$A$104,A97)&gt;1,"Duplicate ID",IF(OR(C97="",D97="",E97="",F97=""),"Missing risk context",IF(OR(NOT(ISNUMBER(I97)),NOT(ISNUMBER(O97))),"Incomplete or invalid scores",IF(OR(Q97="",S97="",T97=""),"Missing treatment or owner",IF(NOT(ISNUMBER(U97)),"Missing or invalid target date",IF(U97&lt;=0,"Missing or invalid target date","OK"))))))))</x:f>
      </x:c>
      <x:c r="AE97" s="96" t="str">
        <x:f>IF(A97="","",IF(AND(OR(T97="Closed",T97="Accepted"),OR(AC97="",Z97&lt;&gt;"Evidence reviewed",AA97="",NOT(ISNUMBER(AB97)))),"Closure review needed",IF(OR(Y97="",Z97="",AA97="",NOT(ISNUMBER(AB97))),"Add assessment support",IF(AB97&lt;=0,"Add assessment support","Notes present"))))</x:f>
      </x:c>
    </x:row>
    <x:row r="98" ht="36" customHeight="1">
      <x:c r="A98" s="40"/>
      <x:c r="B98" s="40"/>
      <x:c r="C98" s="40"/>
      <x:c r="D98" s="40"/>
      <x:c r="E98" s="40"/>
      <x:c r="F98" s="40"/>
      <x:c r="G98" s="40"/>
      <x:c r="H98" s="40"/>
      <x:c r="I98" s="41" t="str">
        <x:f>IF(A98="","",IF(COUNT(G98,H98)&lt;&gt;2,"",IF(AND(G98&gt;=1,G98&lt;=5,H98&gt;=1,H98&lt;=5,MOD(G98,1)=0,MOD(H98,1)=0),G98*H98,"")))</x:f>
      </x:c>
      <x:c r="J98" s="41" t="str">
        <x:f>IF(A98="","",IF(ISNUMBER(I98),IF(I98&gt;=16,"Critical",IF(I98&gt;=10,"High",IF(I98&gt;=5,"Medium","Low"))),"Not assessed"))</x:f>
      </x:c>
      <x:c r="K98" s="40"/>
      <x:c r="L98" s="40"/>
      <x:c r="M98" s="40"/>
      <x:c r="N98" s="40"/>
      <x:c r="O98" s="41" t="str">
        <x:f>IF(A98="","",IF(COUNT(M98,N98)&lt;&gt;2,"",IF(AND(M98&gt;=1,M98&lt;=5,N98&gt;=1,N98&lt;=5,MOD(M98,1)=0,MOD(N98,1)=0),M98*N98,"")))</x:f>
      </x:c>
      <x:c r="P98" s="41" t="str">
        <x:f>IF(A98="","",IF(ISNUMBER(O98),IF(O98&gt;=16,"Critical",IF(O98&gt;=10,"High",IF(O98&gt;=5,"Medium","Low"))),"Not assessed"))</x:f>
      </x:c>
      <x:c r="Q98" s="40"/>
      <x:c r="R98" s="40"/>
      <x:c r="S98" s="40"/>
      <x:c r="T98" s="40"/>
      <x:c r="U98" s="42"/>
      <x:c r="V98" s="40"/>
      <x:c r="W98" s="40"/>
      <x:c r="X98" s="40"/>
      <x:c r="Y98" s="92"/>
      <x:c r="Z98" s="92"/>
      <x:c r="AA98" s="92"/>
      <x:c r="AB98" s="97"/>
      <x:c r="AC98" s="92"/>
      <x:c r="AD98" s="96" t="str">
        <x:f>IF(COUNTA(A98:H98,K98:N98,Q98:AC98)=0,"",IF(A98="","Missing ID",IF(COUNTIF($A$5:$A$104,A98)&gt;1,"Duplicate ID",IF(OR(C98="",D98="",E98="",F98=""),"Missing risk context",IF(OR(NOT(ISNUMBER(I98)),NOT(ISNUMBER(O98))),"Incomplete or invalid scores",IF(OR(Q98="",S98="",T98=""),"Missing treatment or owner",IF(NOT(ISNUMBER(U98)),"Missing or invalid target date",IF(U98&lt;=0,"Missing or invalid target date","OK"))))))))</x:f>
      </x:c>
      <x:c r="AE98" s="96" t="str">
        <x:f>IF(A98="","",IF(AND(OR(T98="Closed",T98="Accepted"),OR(AC98="",Z98&lt;&gt;"Evidence reviewed",AA98="",NOT(ISNUMBER(AB98)))),"Closure review needed",IF(OR(Y98="",Z98="",AA98="",NOT(ISNUMBER(AB98))),"Add assessment support",IF(AB98&lt;=0,"Add assessment support","Notes present"))))</x:f>
      </x:c>
    </x:row>
    <x:row r="99" ht="36" customHeight="1">
      <x:c r="A99" s="40"/>
      <x:c r="B99" s="40"/>
      <x:c r="C99" s="40"/>
      <x:c r="D99" s="40"/>
      <x:c r="E99" s="40"/>
      <x:c r="F99" s="40"/>
      <x:c r="G99" s="40"/>
      <x:c r="H99" s="40"/>
      <x:c r="I99" s="41" t="str">
        <x:f>IF(A99="","",IF(COUNT(G99,H99)&lt;&gt;2,"",IF(AND(G99&gt;=1,G99&lt;=5,H99&gt;=1,H99&lt;=5,MOD(G99,1)=0,MOD(H99,1)=0),G99*H99,"")))</x:f>
      </x:c>
      <x:c r="J99" s="41" t="str">
        <x:f>IF(A99="","",IF(ISNUMBER(I99),IF(I99&gt;=16,"Critical",IF(I99&gt;=10,"High",IF(I99&gt;=5,"Medium","Low"))),"Not assessed"))</x:f>
      </x:c>
      <x:c r="K99" s="40"/>
      <x:c r="L99" s="40"/>
      <x:c r="M99" s="40"/>
      <x:c r="N99" s="40"/>
      <x:c r="O99" s="41" t="str">
        <x:f>IF(A99="","",IF(COUNT(M99,N99)&lt;&gt;2,"",IF(AND(M99&gt;=1,M99&lt;=5,N99&gt;=1,N99&lt;=5,MOD(M99,1)=0,MOD(N99,1)=0),M99*N99,"")))</x:f>
      </x:c>
      <x:c r="P99" s="41" t="str">
        <x:f>IF(A99="","",IF(ISNUMBER(O99),IF(O99&gt;=16,"Critical",IF(O99&gt;=10,"High",IF(O99&gt;=5,"Medium","Low"))),"Not assessed"))</x:f>
      </x:c>
      <x:c r="Q99" s="40"/>
      <x:c r="R99" s="40"/>
      <x:c r="S99" s="40"/>
      <x:c r="T99" s="40"/>
      <x:c r="U99" s="42"/>
      <x:c r="V99" s="40"/>
      <x:c r="W99" s="40"/>
      <x:c r="X99" s="40"/>
      <x:c r="Y99" s="92"/>
      <x:c r="Z99" s="92"/>
      <x:c r="AA99" s="92"/>
      <x:c r="AB99" s="97"/>
      <x:c r="AC99" s="92"/>
      <x:c r="AD99" s="96" t="str">
        <x:f>IF(COUNTA(A99:H99,K99:N99,Q99:AC99)=0,"",IF(A99="","Missing ID",IF(COUNTIF($A$5:$A$104,A99)&gt;1,"Duplicate ID",IF(OR(C99="",D99="",E99="",F99=""),"Missing risk context",IF(OR(NOT(ISNUMBER(I99)),NOT(ISNUMBER(O99))),"Incomplete or invalid scores",IF(OR(Q99="",S99="",T99=""),"Missing treatment or owner",IF(NOT(ISNUMBER(U99)),"Missing or invalid target date",IF(U99&lt;=0,"Missing or invalid target date","OK"))))))))</x:f>
      </x:c>
      <x:c r="AE99" s="96" t="str">
        <x:f>IF(A99="","",IF(AND(OR(T99="Closed",T99="Accepted"),OR(AC99="",Z99&lt;&gt;"Evidence reviewed",AA99="",NOT(ISNUMBER(AB99)))),"Closure review needed",IF(OR(Y99="",Z99="",AA99="",NOT(ISNUMBER(AB99))),"Add assessment support",IF(AB99&lt;=0,"Add assessment support","Notes present"))))</x:f>
      </x:c>
    </x:row>
    <x:row r="100" ht="36" customHeight="1">
      <x:c r="A100" s="40"/>
      <x:c r="B100" s="40"/>
      <x:c r="C100" s="40"/>
      <x:c r="D100" s="40"/>
      <x:c r="E100" s="40"/>
      <x:c r="F100" s="40"/>
      <x:c r="G100" s="40"/>
      <x:c r="H100" s="40"/>
      <x:c r="I100" s="41" t="str">
        <x:f>IF(A100="","",IF(COUNT(G100,H100)&lt;&gt;2,"",IF(AND(G100&gt;=1,G100&lt;=5,H100&gt;=1,H100&lt;=5,MOD(G100,1)=0,MOD(H100,1)=0),G100*H100,"")))</x:f>
      </x:c>
      <x:c r="J100" s="41" t="str">
        <x:f>IF(A100="","",IF(ISNUMBER(I100),IF(I100&gt;=16,"Critical",IF(I100&gt;=10,"High",IF(I100&gt;=5,"Medium","Low"))),"Not assessed"))</x:f>
      </x:c>
      <x:c r="K100" s="40"/>
      <x:c r="L100" s="40"/>
      <x:c r="M100" s="40"/>
      <x:c r="N100" s="40"/>
      <x:c r="O100" s="41" t="str">
        <x:f>IF(A100="","",IF(COUNT(M100,N100)&lt;&gt;2,"",IF(AND(M100&gt;=1,M100&lt;=5,N100&gt;=1,N100&lt;=5,MOD(M100,1)=0,MOD(N100,1)=0),M100*N100,"")))</x:f>
      </x:c>
      <x:c r="P100" s="41" t="str">
        <x:f>IF(A100="","",IF(ISNUMBER(O100),IF(O100&gt;=16,"Critical",IF(O100&gt;=10,"High",IF(O100&gt;=5,"Medium","Low"))),"Not assessed"))</x:f>
      </x:c>
      <x:c r="Q100" s="40"/>
      <x:c r="R100" s="40"/>
      <x:c r="S100" s="40"/>
      <x:c r="T100" s="40"/>
      <x:c r="U100" s="42"/>
      <x:c r="V100" s="40"/>
      <x:c r="W100" s="40"/>
      <x:c r="X100" s="40"/>
      <x:c r="Y100" s="92"/>
      <x:c r="Z100" s="92"/>
      <x:c r="AA100" s="92"/>
      <x:c r="AB100" s="97"/>
      <x:c r="AC100" s="92"/>
      <x:c r="AD100" s="96" t="str">
        <x:f>IF(COUNTA(A100:H100,K100:N100,Q100:AC100)=0,"",IF(A100="","Missing ID",IF(COUNTIF($A$5:$A$104,A100)&gt;1,"Duplicate ID",IF(OR(C100="",D100="",E100="",F100=""),"Missing risk context",IF(OR(NOT(ISNUMBER(I100)),NOT(ISNUMBER(O100))),"Incomplete or invalid scores",IF(OR(Q100="",S100="",T100=""),"Missing treatment or owner",IF(NOT(ISNUMBER(U100)),"Missing or invalid target date",IF(U100&lt;=0,"Missing or invalid target date","OK"))))))))</x:f>
      </x:c>
      <x:c r="AE100" s="96" t="str">
        <x:f>IF(A100="","",IF(AND(OR(T100="Closed",T100="Accepted"),OR(AC100="",Z100&lt;&gt;"Evidence reviewed",AA100="",NOT(ISNUMBER(AB100)))),"Closure review needed",IF(OR(Y100="",Z100="",AA100="",NOT(ISNUMBER(AB100))),"Add assessment support",IF(AB100&lt;=0,"Add assessment support","Notes present"))))</x:f>
      </x:c>
    </x:row>
    <x:row r="101" ht="36" customHeight="1">
      <x:c r="A101" s="40"/>
      <x:c r="B101" s="40"/>
      <x:c r="C101" s="40"/>
      <x:c r="D101" s="40"/>
      <x:c r="E101" s="40"/>
      <x:c r="F101" s="40"/>
      <x:c r="G101" s="40"/>
      <x:c r="H101" s="40"/>
      <x:c r="I101" s="41" t="str">
        <x:f>IF(A101="","",IF(COUNT(G101,H101)&lt;&gt;2,"",IF(AND(G101&gt;=1,G101&lt;=5,H101&gt;=1,H101&lt;=5,MOD(G101,1)=0,MOD(H101,1)=0),G101*H101,"")))</x:f>
      </x:c>
      <x:c r="J101" s="41" t="str">
        <x:f>IF(A101="","",IF(ISNUMBER(I101),IF(I101&gt;=16,"Critical",IF(I101&gt;=10,"High",IF(I101&gt;=5,"Medium","Low"))),"Not assessed"))</x:f>
      </x:c>
      <x:c r="K101" s="40"/>
      <x:c r="L101" s="40"/>
      <x:c r="M101" s="40"/>
      <x:c r="N101" s="40"/>
      <x:c r="O101" s="41" t="str">
        <x:f>IF(A101="","",IF(COUNT(M101,N101)&lt;&gt;2,"",IF(AND(M101&gt;=1,M101&lt;=5,N101&gt;=1,N101&lt;=5,MOD(M101,1)=0,MOD(N101,1)=0),M101*N101,"")))</x:f>
      </x:c>
      <x:c r="P101" s="41" t="str">
        <x:f>IF(A101="","",IF(ISNUMBER(O101),IF(O101&gt;=16,"Critical",IF(O101&gt;=10,"High",IF(O101&gt;=5,"Medium","Low"))),"Not assessed"))</x:f>
      </x:c>
      <x:c r="Q101" s="40"/>
      <x:c r="R101" s="40"/>
      <x:c r="S101" s="40"/>
      <x:c r="T101" s="40"/>
      <x:c r="U101" s="42"/>
      <x:c r="V101" s="40"/>
      <x:c r="W101" s="40"/>
      <x:c r="X101" s="40"/>
      <x:c r="Y101" s="92"/>
      <x:c r="Z101" s="92"/>
      <x:c r="AA101" s="92"/>
      <x:c r="AB101" s="97"/>
      <x:c r="AC101" s="92"/>
      <x:c r="AD101" s="96" t="str">
        <x:f>IF(COUNTA(A101:H101,K101:N101,Q101:AC101)=0,"",IF(A101="","Missing ID",IF(COUNTIF($A$5:$A$104,A101)&gt;1,"Duplicate ID",IF(OR(C101="",D101="",E101="",F101=""),"Missing risk context",IF(OR(NOT(ISNUMBER(I101)),NOT(ISNUMBER(O101))),"Incomplete or invalid scores",IF(OR(Q101="",S101="",T101=""),"Missing treatment or owner",IF(NOT(ISNUMBER(U101)),"Missing or invalid target date",IF(U101&lt;=0,"Missing or invalid target date","OK"))))))))</x:f>
      </x:c>
      <x:c r="AE101" s="96" t="str">
        <x:f>IF(A101="","",IF(AND(OR(T101="Closed",T101="Accepted"),OR(AC101="",Z101&lt;&gt;"Evidence reviewed",AA101="",NOT(ISNUMBER(AB101)))),"Closure review needed",IF(OR(Y101="",Z101="",AA101="",NOT(ISNUMBER(AB101))),"Add assessment support",IF(AB101&lt;=0,"Add assessment support","Notes present"))))</x:f>
      </x:c>
    </x:row>
    <x:row r="102" ht="36" customHeight="1">
      <x:c r="A102" s="40"/>
      <x:c r="B102" s="40"/>
      <x:c r="C102" s="40"/>
      <x:c r="D102" s="40"/>
      <x:c r="E102" s="40"/>
      <x:c r="F102" s="40"/>
      <x:c r="G102" s="40"/>
      <x:c r="H102" s="40"/>
      <x:c r="I102" s="41" t="str">
        <x:f>IF(A102="","",IF(COUNT(G102,H102)&lt;&gt;2,"",IF(AND(G102&gt;=1,G102&lt;=5,H102&gt;=1,H102&lt;=5,MOD(G102,1)=0,MOD(H102,1)=0),G102*H102,"")))</x:f>
      </x:c>
      <x:c r="J102" s="41" t="str">
        <x:f>IF(A102="","",IF(ISNUMBER(I102),IF(I102&gt;=16,"Critical",IF(I102&gt;=10,"High",IF(I102&gt;=5,"Medium","Low"))),"Not assessed"))</x:f>
      </x:c>
      <x:c r="K102" s="40"/>
      <x:c r="L102" s="40"/>
      <x:c r="M102" s="40"/>
      <x:c r="N102" s="40"/>
      <x:c r="O102" s="41" t="str">
        <x:f>IF(A102="","",IF(COUNT(M102,N102)&lt;&gt;2,"",IF(AND(M102&gt;=1,M102&lt;=5,N102&gt;=1,N102&lt;=5,MOD(M102,1)=0,MOD(N102,1)=0),M102*N102,"")))</x:f>
      </x:c>
      <x:c r="P102" s="41" t="str">
        <x:f>IF(A102="","",IF(ISNUMBER(O102),IF(O102&gt;=16,"Critical",IF(O102&gt;=10,"High",IF(O102&gt;=5,"Medium","Low"))),"Not assessed"))</x:f>
      </x:c>
      <x:c r="Q102" s="40"/>
      <x:c r="R102" s="40"/>
      <x:c r="S102" s="40"/>
      <x:c r="T102" s="40"/>
      <x:c r="U102" s="42"/>
      <x:c r="V102" s="40"/>
      <x:c r="W102" s="40"/>
      <x:c r="X102" s="40"/>
      <x:c r="Y102" s="92"/>
      <x:c r="Z102" s="92"/>
      <x:c r="AA102" s="92"/>
      <x:c r="AB102" s="97"/>
      <x:c r="AC102" s="92"/>
      <x:c r="AD102" s="96" t="str">
        <x:f>IF(COUNTA(A102:H102,K102:N102,Q102:AC102)=0,"",IF(A102="","Missing ID",IF(COUNTIF($A$5:$A$104,A102)&gt;1,"Duplicate ID",IF(OR(C102="",D102="",E102="",F102=""),"Missing risk context",IF(OR(NOT(ISNUMBER(I102)),NOT(ISNUMBER(O102))),"Incomplete or invalid scores",IF(OR(Q102="",S102="",T102=""),"Missing treatment or owner",IF(NOT(ISNUMBER(U102)),"Missing or invalid target date",IF(U102&lt;=0,"Missing or invalid target date","OK"))))))))</x:f>
      </x:c>
      <x:c r="AE102" s="96" t="str">
        <x:f>IF(A102="","",IF(AND(OR(T102="Closed",T102="Accepted"),OR(AC102="",Z102&lt;&gt;"Evidence reviewed",AA102="",NOT(ISNUMBER(AB102)))),"Closure review needed",IF(OR(Y102="",Z102="",AA102="",NOT(ISNUMBER(AB102))),"Add assessment support",IF(AB102&lt;=0,"Add assessment support","Notes present"))))</x:f>
      </x:c>
    </x:row>
    <x:row r="103" ht="36" customHeight="1">
      <x:c r="A103" s="40"/>
      <x:c r="B103" s="40"/>
      <x:c r="C103" s="40"/>
      <x:c r="D103" s="40"/>
      <x:c r="E103" s="40"/>
      <x:c r="F103" s="40"/>
      <x:c r="G103" s="40"/>
      <x:c r="H103" s="40"/>
      <x:c r="I103" s="41" t="str">
        <x:f>IF(A103="","",IF(COUNT(G103,H103)&lt;&gt;2,"",IF(AND(G103&gt;=1,G103&lt;=5,H103&gt;=1,H103&lt;=5,MOD(G103,1)=0,MOD(H103,1)=0),G103*H103,"")))</x:f>
      </x:c>
      <x:c r="J103" s="41" t="str">
        <x:f>IF(A103="","",IF(ISNUMBER(I103),IF(I103&gt;=16,"Critical",IF(I103&gt;=10,"High",IF(I103&gt;=5,"Medium","Low"))),"Not assessed"))</x:f>
      </x:c>
      <x:c r="K103" s="40"/>
      <x:c r="L103" s="40"/>
      <x:c r="M103" s="40"/>
      <x:c r="N103" s="40"/>
      <x:c r="O103" s="41" t="str">
        <x:f>IF(A103="","",IF(COUNT(M103,N103)&lt;&gt;2,"",IF(AND(M103&gt;=1,M103&lt;=5,N103&gt;=1,N103&lt;=5,MOD(M103,1)=0,MOD(N103,1)=0),M103*N103,"")))</x:f>
      </x:c>
      <x:c r="P103" s="41" t="str">
        <x:f>IF(A103="","",IF(ISNUMBER(O103),IF(O103&gt;=16,"Critical",IF(O103&gt;=10,"High",IF(O103&gt;=5,"Medium","Low"))),"Not assessed"))</x:f>
      </x:c>
      <x:c r="Q103" s="40"/>
      <x:c r="R103" s="40"/>
      <x:c r="S103" s="40"/>
      <x:c r="T103" s="40"/>
      <x:c r="U103" s="42"/>
      <x:c r="V103" s="40"/>
      <x:c r="W103" s="40"/>
      <x:c r="X103" s="40"/>
      <x:c r="Y103" s="92"/>
      <x:c r="Z103" s="92"/>
      <x:c r="AA103" s="92"/>
      <x:c r="AB103" s="97"/>
      <x:c r="AC103" s="92"/>
      <x:c r="AD103" s="96" t="str">
        <x:f>IF(COUNTA(A103:H103,K103:N103,Q103:AC103)=0,"",IF(A103="","Missing ID",IF(COUNTIF($A$5:$A$104,A103)&gt;1,"Duplicate ID",IF(OR(C103="",D103="",E103="",F103=""),"Missing risk context",IF(OR(NOT(ISNUMBER(I103)),NOT(ISNUMBER(O103))),"Incomplete or invalid scores",IF(OR(Q103="",S103="",T103=""),"Missing treatment or owner",IF(NOT(ISNUMBER(U103)),"Missing or invalid target date",IF(U103&lt;=0,"Missing or invalid target date","OK"))))))))</x:f>
      </x:c>
      <x:c r="AE103" s="96" t="str">
        <x:f>IF(A103="","",IF(AND(OR(T103="Closed",T103="Accepted"),OR(AC103="",Z103&lt;&gt;"Evidence reviewed",AA103="",NOT(ISNUMBER(AB103)))),"Closure review needed",IF(OR(Y103="",Z103="",AA103="",NOT(ISNUMBER(AB103))),"Add assessment support",IF(AB103&lt;=0,"Add assessment support","Notes present"))))</x:f>
      </x:c>
    </x:row>
    <x:row r="104" ht="36" customHeight="1">
      <x:c r="A104" s="40"/>
      <x:c r="B104" s="40"/>
      <x:c r="C104" s="40"/>
      <x:c r="D104" s="40"/>
      <x:c r="E104" s="40"/>
      <x:c r="F104" s="40"/>
      <x:c r="G104" s="40"/>
      <x:c r="H104" s="40"/>
      <x:c r="I104" s="41" t="str">
        <x:f>IF(A104="","",IF(COUNT(G104,H104)&lt;&gt;2,"",IF(AND(G104&gt;=1,G104&lt;=5,H104&gt;=1,H104&lt;=5,MOD(G104,1)=0,MOD(H104,1)=0),G104*H104,"")))</x:f>
      </x:c>
      <x:c r="J104" s="41" t="str">
        <x:f>IF(A104="","",IF(ISNUMBER(I104),IF(I104&gt;=16,"Critical",IF(I104&gt;=10,"High",IF(I104&gt;=5,"Medium","Low"))),"Not assessed"))</x:f>
      </x:c>
      <x:c r="K104" s="40"/>
      <x:c r="L104" s="40"/>
      <x:c r="M104" s="40"/>
      <x:c r="N104" s="40"/>
      <x:c r="O104" s="41" t="str">
        <x:f>IF(A104="","",IF(COUNT(M104,N104)&lt;&gt;2,"",IF(AND(M104&gt;=1,M104&lt;=5,N104&gt;=1,N104&lt;=5,MOD(M104,1)=0,MOD(N104,1)=0),M104*N104,"")))</x:f>
      </x:c>
      <x:c r="P104" s="41" t="str">
        <x:f>IF(A104="","",IF(ISNUMBER(O104),IF(O104&gt;=16,"Critical",IF(O104&gt;=10,"High",IF(O104&gt;=5,"Medium","Low"))),"Not assessed"))</x:f>
      </x:c>
      <x:c r="Q104" s="40"/>
      <x:c r="R104" s="40"/>
      <x:c r="S104" s="40"/>
      <x:c r="T104" s="40"/>
      <x:c r="U104" s="42"/>
      <x:c r="V104" s="40"/>
      <x:c r="W104" s="40"/>
      <x:c r="X104" s="40"/>
      <x:c r="Y104" s="92"/>
      <x:c r="Z104" s="92"/>
      <x:c r="AA104" s="92"/>
      <x:c r="AB104" s="97"/>
      <x:c r="AC104" s="92"/>
      <x:c r="AD104" s="96" t="str">
        <x:f>IF(COUNTA(A104:H104,K104:N104,Q104:AC104)=0,"",IF(A104="","Missing ID",IF(COUNTIF($A$5:$A$104,A104)&gt;1,"Duplicate ID",IF(OR(C104="",D104="",E104="",F104=""),"Missing risk context",IF(OR(NOT(ISNUMBER(I104)),NOT(ISNUMBER(O104))),"Incomplete or invalid scores",IF(OR(Q104="",S104="",T104=""),"Missing treatment or owner",IF(NOT(ISNUMBER(U104)),"Missing or invalid target date",IF(U104&lt;=0,"Missing or invalid target date","OK"))))))))</x:f>
      </x:c>
      <x:c r="AE104" s="96" t="str">
        <x:f>IF(A104="","",IF(AND(OR(T104="Closed",T104="Accepted"),OR(AC104="",Z104&lt;&gt;"Evidence reviewed",AA104="",NOT(ISNUMBER(AB104)))),"Closure review needed",IF(OR(Y104="",Z104="",AA104="",NOT(ISNUMBER(AB104))),"Add assessment support",IF(AB104&lt;=0,"Add assessment support","Notes present"))))</x:f>
      </x:c>
    </x:row>
  </x:sheetData>
  <x:mergeCells>
    <x:mergeCell ref="A1:X1"/>
    <x:mergeCell ref="A2:X2"/>
  </x:mergeCells>
  <x:conditionalFormatting sqref="J5:J104">
    <x:cfRule type="expression" dxfId="0" priority="1">
      <x:formula>$J5="Critical"</x:formula>
    </x:cfRule>
    <x:cfRule type="expression" dxfId="1" priority="2">
      <x:formula>$J5="High"</x:formula>
    </x:cfRule>
    <x:cfRule type="expression" dxfId="2" priority="3">
      <x:formula>$J5="Medium"</x:formula>
    </x:cfRule>
    <x:cfRule type="expression" dxfId="3" priority="4">
      <x:formula>$J5="Low"</x:formula>
    </x:cfRule>
  </x:conditionalFormatting>
  <x:conditionalFormatting sqref="P5:P104">
    <x:cfRule type="expression" dxfId="4" priority="5">
      <x:formula>$P5="Critical"</x:formula>
    </x:cfRule>
    <x:cfRule type="expression" dxfId="5" priority="6">
      <x:formula>$P5="High"</x:formula>
    </x:cfRule>
    <x:cfRule type="expression" dxfId="6" priority="7">
      <x:formula>$P5="Medium"</x:formula>
    </x:cfRule>
    <x:cfRule type="expression" dxfId="7" priority="8">
      <x:formula>$P5="Low"</x:formula>
    </x:cfRule>
  </x:conditionalFormatting>
  <x:conditionalFormatting sqref="AD5:AD104">
    <x:cfRule type="expression" dxfId="9" priority="9">
      <x:formula>AND($A5&lt;&gt;"",AD5&lt;&gt;"OK",AD5&lt;&gt;"Notes present")</x:formula>
    </x:cfRule>
  </x:conditionalFormatting>
  <x:conditionalFormatting sqref="AE5:AE104">
    <x:cfRule type="expression" dxfId="10" priority="10">
      <x:formula>AND($A5&lt;&gt;"",AE5&lt;&gt;"OK",AE5&lt;&gt;"Notes present")</x:formula>
    </x:cfRule>
  </x:conditionalFormatting>
  <x:dataValidations count="10">
    <x:dataValidation type="list" sqref="B5:B104">
      <x:formula1>Lists!$A$2:$A$13</x:formula1>
    </x:dataValidation>
    <x:dataValidation type="list" sqref="G5:G104">
      <x:formula1>"1,2,3,4,5"</x:formula1>
    </x:dataValidation>
    <x:dataValidation type="list" sqref="H5:H104">
      <x:formula1>"1,2,3,4,5"</x:formula1>
    </x:dataValidation>
    <x:dataValidation type="list" sqref="L5:L104">
      <x:formula1>Lists!$B$2:$B$5</x:formula1>
    </x:dataValidation>
    <x:dataValidation type="list" sqref="M5:M104">
      <x:formula1>"1,2,3,4,5"</x:formula1>
    </x:dataValidation>
    <x:dataValidation type="list" sqref="N5:N104">
      <x:formula1>"1,2,3,4,5"</x:formula1>
    </x:dataValidation>
    <x:dataValidation type="list" sqref="Q5:Q104">
      <x:formula1>Lists!$C$2:$C$5</x:formula1>
    </x:dataValidation>
    <x:dataValidation type="list" sqref="S5:S104">
      <x:formula1>Lists!$D$2:$D$10</x:formula1>
    </x:dataValidation>
    <x:dataValidation type="list" sqref="T5:T104">
      <x:formula1>Lists!$E$2:$E$6</x:formula1>
    </x:dataValidation>
    <x:dataValidation type="list" sqref="Z5:Z104">
      <x:formula1>"Scenario only,Evidence requested,Evidence reviewed"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03cd9e40ba44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7" t="str">
        <x:v>Risk Summary and Heat Maps</x:v>
      </x:c>
    </x:row>
    <x:row r="3">
      <x:c r="A3" s="26" t="str">
        <x:v>Residual Rating</x:v>
      </x:c>
      <x:c r="B3" s="26" t="str">
        <x:v>Count</x:v>
      </x:c>
      <x:c r="D3" s="26" t="str">
        <x:v>Residual Risk Heat Map — cell value = number of risks</x:v>
      </x:c>
    </x:row>
    <x:row r="4">
      <x:c r="A4" s="47" t="str">
        <x:v>Critical</x:v>
      </x:c>
      <x:c r="B4" s="103" t="n">
        <x:f>COUNTIF('Risk Register'!$P$5:$P$104,"Critical")</x:f>
        <x:v>0</x:v>
      </x:c>
      <x:c r="D4" s="10" t="str">
        <x:v>Likelihood \ Impact</x:v>
      </x:c>
      <x:c r="E4" s="10" t="n">
        <x:v>1</x:v>
      </x:c>
      <x:c r="F4" s="10" t="n">
        <x:v>2</x:v>
      </x:c>
      <x:c r="G4" s="10" t="n">
        <x:v>3</x:v>
      </x:c>
      <x:c r="H4" s="10" t="n">
        <x:v>4</x:v>
      </x:c>
      <x:c r="I4" s="10" t="n">
        <x:v>5</x:v>
      </x:c>
    </x:row>
    <x:row r="5">
      <x:c r="A5" s="49" t="str">
        <x:v>High</x:v>
      </x:c>
      <x:c r="B5" s="104" t="n">
        <x:f>COUNTIF('Risk Register'!$P$5:$P$104,"High")</x:f>
        <x:v>13</x:v>
      </x:c>
      <x:c r="D5" s="67" t="n">
        <x:v>5</x:v>
      </x:c>
      <x:c r="E5" s="56" t="n">
        <x:f>COUNTIFS('Risk Register'!$A$5:$A$104,"&lt;&gt;",'Risk Register'!$M$5:$M$104,$D5,'Risk Register'!$N$5:$N$104,E$4)</x:f>
        <x:v>0</x:v>
      </x:c>
      <x:c r="F5" s="60" t="n">
        <x:f>COUNTIFS('Risk Register'!$A$5:$A$104,"&lt;&gt;",'Risk Register'!$M$5:$M$104,$D5,'Risk Register'!$N$5:$N$104,F$4)</x:f>
        <x:v>0</x:v>
      </x:c>
      <x:c r="G5" s="60" t="n">
        <x:f>COUNTIFS('Risk Register'!$A$5:$A$104,"&lt;&gt;",'Risk Register'!$M$5:$M$104,$D5,'Risk Register'!$N$5:$N$104,G$4)</x:f>
        <x:v>0</x:v>
      </x:c>
      <x:c r="H5" s="64" t="n">
        <x:f>COUNTIFS('Risk Register'!$A$5:$A$104,"&lt;&gt;",'Risk Register'!$M$5:$M$104,$D5,'Risk Register'!$N$5:$N$104,H$4)</x:f>
        <x:v>0</x:v>
      </x:c>
      <x:c r="I5" s="64" t="n">
        <x:f>COUNTIFS('Risk Register'!$A$5:$A$104,"&lt;&gt;",'Risk Register'!$M$5:$M$104,$D5,'Risk Register'!$N$5:$N$104,I$4)</x:f>
        <x:v>0</x:v>
      </x:c>
    </x:row>
    <x:row r="6">
      <x:c r="A6" s="51" t="str">
        <x:v>Medium</x:v>
      </x:c>
      <x:c r="B6" s="105" t="n">
        <x:f>COUNTIF('Risk Register'!$P$5:$P$104,"Medium")</x:f>
        <x:v>15</x:v>
      </x:c>
      <x:c r="D6" s="67" t="n">
        <x:v>4</x:v>
      </x:c>
      <x:c r="E6" s="70" t="n">
        <x:f>COUNTIFS('Risk Register'!$A$5:$A$104,"&lt;&gt;",'Risk Register'!$M$5:$M$104,$D6,'Risk Register'!$N$5:$N$104,E$4)</x:f>
        <x:v>0</x:v>
      </x:c>
      <x:c r="F6" s="56" t="n">
        <x:f>COUNTIFS('Risk Register'!$A$5:$A$104,"&lt;&gt;",'Risk Register'!$M$5:$M$104,$D6,'Risk Register'!$N$5:$N$104,F$4)</x:f>
        <x:v>0</x:v>
      </x:c>
      <x:c r="G6" s="60" t="n">
        <x:f>COUNTIFS('Risk Register'!$A$5:$A$104,"&lt;&gt;",'Risk Register'!$M$5:$M$104,$D6,'Risk Register'!$N$5:$N$104,G$4)</x:f>
        <x:v>0</x:v>
      </x:c>
      <x:c r="H6" s="64" t="n">
        <x:f>COUNTIFS('Risk Register'!$A$5:$A$104,"&lt;&gt;",'Risk Register'!$M$5:$M$104,$D6,'Risk Register'!$N$5:$N$104,H$4)</x:f>
        <x:v>0</x:v>
      </x:c>
      <x:c r="I6" s="64" t="n">
        <x:f>COUNTIFS('Risk Register'!$A$5:$A$104,"&lt;&gt;",'Risk Register'!$M$5:$M$104,$D6,'Risk Register'!$N$5:$N$104,I$4)</x:f>
        <x:v>0</x:v>
      </x:c>
    </x:row>
    <x:row r="7">
      <x:c r="A7" s="53" t="str">
        <x:v>Low</x:v>
      </x:c>
      <x:c r="B7" s="106" t="n">
        <x:f>COUNTIF('Risk Register'!$P$5:$P$104,"Low")</x:f>
        <x:v>2</x:v>
      </x:c>
      <x:c r="D7" s="67" t="n">
        <x:v>3</x:v>
      </x:c>
      <x:c r="E7" s="70" t="n">
        <x:f>COUNTIFS('Risk Register'!$A$5:$A$104,"&lt;&gt;",'Risk Register'!$M$5:$M$104,$D7,'Risk Register'!$N$5:$N$104,E$4)</x:f>
        <x:v>0</x:v>
      </x:c>
      <x:c r="F7" s="56" t="n">
        <x:f>COUNTIFS('Risk Register'!$A$5:$A$104,"&lt;&gt;",'Risk Register'!$M$5:$M$104,$D7,'Risk Register'!$N$5:$N$104,F$4)</x:f>
        <x:v>0</x:v>
      </x:c>
      <x:c r="G7" s="56" t="n">
        <x:f>COUNTIFS('Risk Register'!$A$5:$A$104,"&lt;&gt;",'Risk Register'!$M$5:$M$104,$D7,'Risk Register'!$N$5:$N$104,G$4)</x:f>
        <x:v>0</x:v>
      </x:c>
      <x:c r="H7" s="60" t="n">
        <x:f>COUNTIFS('Risk Register'!$A$5:$A$104,"&lt;&gt;",'Risk Register'!$M$5:$M$104,$D7,'Risk Register'!$N$5:$N$104,H$4)</x:f>
        <x:v>1</x:v>
      </x:c>
      <x:c r="I7" s="60" t="n">
        <x:f>COUNTIFS('Risk Register'!$A$5:$A$104,"&lt;&gt;",'Risk Register'!$M$5:$M$104,$D7,'Risk Register'!$N$5:$N$104,I$4)</x:f>
        <x:v>4</x:v>
      </x:c>
    </x:row>
    <x:row r="8">
      <x:c r="A8" t="str">
        <x:v>Open / Planned / In Progress</x:v>
      </x:c>
      <x:c r="B8" s="107" t="n">
        <x:f>COUNTIF('Risk Register'!$T$5:$T$104,"Open")+COUNTIF('Risk Register'!$T$5:$T$104,"Planned")+COUNTIF('Risk Register'!$T$5:$T$104,"In Progress")</x:f>
        <x:v>27</x:v>
      </x:c>
      <x:c r="D8" s="67" t="n">
        <x:v>2</x:v>
      </x:c>
      <x:c r="E8" s="70" t="n">
        <x:f>COUNTIFS('Risk Register'!$A$5:$A$104,"&lt;&gt;",'Risk Register'!$M$5:$M$104,$D8,'Risk Register'!$N$5:$N$104,E$4)</x:f>
        <x:v>0</x:v>
      </x:c>
      <x:c r="F8" s="70" t="n">
        <x:f>COUNTIFS('Risk Register'!$A$5:$A$104,"&lt;&gt;",'Risk Register'!$M$5:$M$104,$D8,'Risk Register'!$N$5:$N$104,F$4)</x:f>
        <x:v>0</x:v>
      </x:c>
      <x:c r="G8" s="56" t="n">
        <x:f>COUNTIFS('Risk Register'!$A$5:$A$104,"&lt;&gt;",'Risk Register'!$M$5:$M$104,$D8,'Risk Register'!$N$5:$N$104,G$4)</x:f>
        <x:v>6</x:v>
      </x:c>
      <x:c r="H8" s="56" t="n">
        <x:f>COUNTIFS('Risk Register'!$A$5:$A$104,"&lt;&gt;",'Risk Register'!$M$5:$M$104,$D8,'Risk Register'!$N$5:$N$104,H$4)</x:f>
        <x:v>9</x:v>
      </x:c>
      <x:c r="I8" s="60" t="n">
        <x:f>COUNTIFS('Risk Register'!$A$5:$A$104,"&lt;&gt;",'Risk Register'!$M$5:$M$104,$D8,'Risk Register'!$N$5:$N$104,I$4)</x:f>
        <x:v>8</x:v>
      </x:c>
    </x:row>
    <x:row r="9">
      <x:c r="A9" t="str">
        <x:v>Past Due</x:v>
      </x:c>
      <x:c r="B9" s="107" t="n">
        <x:f>COUNTIFS('Risk Register'!$A$5:$A$104,"&lt;&gt;",'Risk Register'!$U$5:$U$104,"&gt;0",'Risk Register'!$U$5:$U$104,"&lt;"&amp;TODAY(),'Risk Register'!$T$5:$T$104,"&lt;&gt;Closed",'Risk Register'!$T$5:$T$104,"&lt;&gt;Accepted")</x:f>
        <x:v>0</x:v>
      </x:c>
      <x:c r="D9" s="67" t="n">
        <x:v>1</x:v>
      </x:c>
      <x:c r="E9" s="70" t="n">
        <x:f>COUNTIFS('Risk Register'!$A$5:$A$104,"&lt;&gt;",'Risk Register'!$M$5:$M$104,$D9,'Risk Register'!$N$5:$N$104,E$4)</x:f>
        <x:v>0</x:v>
      </x:c>
      <x:c r="F9" s="70" t="n">
        <x:f>COUNTIFS('Risk Register'!$A$5:$A$104,"&lt;&gt;",'Risk Register'!$M$5:$M$104,$D9,'Risk Register'!$N$5:$N$104,F$4)</x:f>
        <x:v>0</x:v>
      </x:c>
      <x:c r="G9" s="70" t="n">
        <x:f>COUNTIFS('Risk Register'!$A$5:$A$104,"&lt;&gt;",'Risk Register'!$M$5:$M$104,$D9,'Risk Register'!$N$5:$N$104,G$4)</x:f>
        <x:v>2</x:v>
      </x:c>
      <x:c r="H9" s="70" t="n">
        <x:f>COUNTIFS('Risk Register'!$A$5:$A$104,"&lt;&gt;",'Risk Register'!$M$5:$M$104,$D9,'Risk Register'!$N$5:$N$104,H$4)</x:f>
        <x:v>0</x:v>
      </x:c>
      <x:c r="I9" s="56" t="n">
        <x:f>COUNTIFS('Risk Register'!$A$5:$A$104,"&lt;&gt;",'Risk Register'!$M$5:$M$104,$D9,'Risk Register'!$N$5:$N$104,I$4)</x:f>
        <x:v>0</x:v>
      </x:c>
    </x:row>
    <x:row r="12">
      <x:c r="A12" s="77" t="str">
        <x:v>How to read the heat map</x:v>
      </x:c>
      <x:c r="B12" s="14" t="str"/>
      <x:c r="D12" s="26" t="str">
        <x:v>Inherent Risk Heat Map — cell value = number of risks</x:v>
      </x:c>
    </x:row>
    <x:row r="13">
      <x:c r="A13" s="77" t="str">
        <x:v>Rows</x:v>
      </x:c>
      <x:c r="B13" s="14" t="str">
        <x:v>Likelihood (5 = highest)</x:v>
      </x:c>
      <x:c r="D13" s="10" t="str">
        <x:v>Likelihood \ Impact</x:v>
      </x:c>
      <x:c r="E13" s="10" t="n">
        <x:v>1</x:v>
      </x:c>
      <x:c r="F13" s="10" t="n">
        <x:v>2</x:v>
      </x:c>
      <x:c r="G13" s="10" t="n">
        <x:v>3</x:v>
      </x:c>
      <x:c r="H13" s="10" t="n">
        <x:v>4</x:v>
      </x:c>
      <x:c r="I13" s="10" t="n">
        <x:v>5</x:v>
      </x:c>
    </x:row>
    <x:row r="14">
      <x:c r="A14" s="77" t="str">
        <x:v>Columns</x:v>
      </x:c>
      <x:c r="B14" s="14" t="str">
        <x:v>Impact (5 = highest)</x:v>
      </x:c>
      <x:c r="D14" s="67" t="n">
        <x:v>5</x:v>
      </x:c>
      <x:c r="E14" s="56" t="n">
        <x:f>COUNTIFS('Risk Register'!$A$5:$A$104,"&lt;&gt;",'Risk Register'!$G$5:$G$104,$D14,'Risk Register'!$H$5:$H$104,E$13)</x:f>
        <x:v>0</x:v>
      </x:c>
      <x:c r="F14" s="60" t="n">
        <x:f>COUNTIFS('Risk Register'!$A$5:$A$104,"&lt;&gt;",'Risk Register'!$G$5:$G$104,$D14,'Risk Register'!$H$5:$H$104,F$13)</x:f>
        <x:v>0</x:v>
      </x:c>
      <x:c r="G14" s="60" t="n">
        <x:f>COUNTIFS('Risk Register'!$A$5:$A$104,"&lt;&gt;",'Risk Register'!$G$5:$G$104,$D14,'Risk Register'!$H$5:$H$104,G$13)</x:f>
        <x:v>0</x:v>
      </x:c>
      <x:c r="H14" s="64" t="n">
        <x:f>COUNTIFS('Risk Register'!$A$5:$A$104,"&lt;&gt;",'Risk Register'!$G$5:$G$104,$D14,'Risk Register'!$H$5:$H$104,H$13)</x:f>
        <x:v>0</x:v>
      </x:c>
      <x:c r="I14" s="64" t="n">
        <x:f>COUNTIFS('Risk Register'!$A$5:$A$104,"&lt;&gt;",'Risk Register'!$G$5:$G$104,$D14,'Risk Register'!$H$5:$H$104,I$13)</x:f>
        <x:v>0</x:v>
      </x:c>
    </x:row>
    <x:row r="15">
      <x:c r="A15" s="77" t="str">
        <x:v>Cell value</x:v>
      </x:c>
      <x:c r="B15" s="14" t="str">
        <x:v>Count of current risks at that likelihood/impact pair</x:v>
      </x:c>
      <x:c r="D15" s="67" t="n">
        <x:v>4</x:v>
      </x:c>
      <x:c r="E15" s="70" t="n">
        <x:f>COUNTIFS('Risk Register'!$A$5:$A$104,"&lt;&gt;",'Risk Register'!$G$5:$G$104,$D15,'Risk Register'!$H$5:$H$104,E$13)</x:f>
        <x:v>0</x:v>
      </x:c>
      <x:c r="F15" s="56" t="n">
        <x:f>COUNTIFS('Risk Register'!$A$5:$A$104,"&lt;&gt;",'Risk Register'!$G$5:$G$104,$D15,'Risk Register'!$H$5:$H$104,F$13)</x:f>
        <x:v>0</x:v>
      </x:c>
      <x:c r="G15" s="60" t="n">
        <x:f>COUNTIFS('Risk Register'!$A$5:$A$104,"&lt;&gt;",'Risk Register'!$G$5:$G$104,$D15,'Risk Register'!$H$5:$H$104,G$13)</x:f>
        <x:v>0</x:v>
      </x:c>
      <x:c r="H15" s="64" t="n">
        <x:f>COUNTIFS('Risk Register'!$A$5:$A$104,"&lt;&gt;",'Risk Register'!$G$5:$G$104,$D15,'Risk Register'!$H$5:$H$104,H$13)</x:f>
        <x:v>4</x:v>
      </x:c>
      <x:c r="I15" s="64" t="n">
        <x:f>COUNTIFS('Risk Register'!$A$5:$A$104,"&lt;&gt;",'Risk Register'!$G$5:$G$104,$D15,'Risk Register'!$H$5:$H$104,I$13)</x:f>
        <x:v>9</x:v>
      </x:c>
    </x:row>
    <x:row r="16">
      <x:c r="A16" s="77" t="str">
        <x:v>Color</x:v>
      </x:c>
      <x:c r="B16" s="14" t="str">
        <x:v>Risk severity based on Likelihood × Impact</x:v>
      </x:c>
      <x:c r="D16" s="67" t="n">
        <x:v>3</x:v>
      </x:c>
      <x:c r="E16" s="70" t="n">
        <x:f>COUNTIFS('Risk Register'!$A$5:$A$104,"&lt;&gt;",'Risk Register'!$G$5:$G$104,$D16,'Risk Register'!$H$5:$H$104,E$13)</x:f>
        <x:v>0</x:v>
      </x:c>
      <x:c r="F16" s="56" t="n">
        <x:f>COUNTIFS('Risk Register'!$A$5:$A$104,"&lt;&gt;",'Risk Register'!$G$5:$G$104,$D16,'Risk Register'!$H$5:$H$104,F$13)</x:f>
        <x:v>0</x:v>
      </x:c>
      <x:c r="G16" s="56" t="n">
        <x:f>COUNTIFS('Risk Register'!$A$5:$A$104,"&lt;&gt;",'Risk Register'!$G$5:$G$104,$D16,'Risk Register'!$H$5:$H$104,G$13)</x:f>
        <x:v>0</x:v>
      </x:c>
      <x:c r="H16" s="60" t="n">
        <x:f>COUNTIFS('Risk Register'!$A$5:$A$104,"&lt;&gt;",'Risk Register'!$G$5:$G$104,$D16,'Risk Register'!$H$5:$H$104,H$13)</x:f>
        <x:v>9</x:v>
      </x:c>
      <x:c r="I16" s="60" t="n">
        <x:f>COUNTIFS('Risk Register'!$A$5:$A$104,"&lt;&gt;",'Risk Register'!$G$5:$G$104,$D16,'Risk Register'!$H$5:$H$104,I$13)</x:f>
        <x:v>7</x:v>
      </x:c>
    </x:row>
    <x:row r="17">
      <x:c r="A17" s="77" t="str">
        <x:v>Dynamic</x:v>
      </x:c>
      <x:c r="B17" s="14" t="str">
        <x:v>Updates when likelihood/impact values change in Risk Register</x:v>
      </x:c>
      <x:c r="D17" s="67" t="n">
        <x:v>2</x:v>
      </x:c>
      <x:c r="E17" s="70" t="n">
        <x:f>COUNTIFS('Risk Register'!$A$5:$A$104,"&lt;&gt;",'Risk Register'!$G$5:$G$104,$D17,'Risk Register'!$H$5:$H$104,E$13)</x:f>
        <x:v>0</x:v>
      </x:c>
      <x:c r="F17" s="70" t="n">
        <x:f>COUNTIFS('Risk Register'!$A$5:$A$104,"&lt;&gt;",'Risk Register'!$G$5:$G$104,$D17,'Risk Register'!$H$5:$H$104,F$13)</x:f>
        <x:v>0</x:v>
      </x:c>
      <x:c r="G17" s="56" t="n">
        <x:f>COUNTIFS('Risk Register'!$A$5:$A$104,"&lt;&gt;",'Risk Register'!$G$5:$G$104,$D17,'Risk Register'!$H$5:$H$104,G$13)</x:f>
        <x:v>0</x:v>
      </x:c>
      <x:c r="H17" s="56" t="n">
        <x:f>COUNTIFS('Risk Register'!$A$5:$A$104,"&lt;&gt;",'Risk Register'!$G$5:$G$104,$D17,'Risk Register'!$H$5:$H$104,H$13)</x:f>
        <x:v>1</x:v>
      </x:c>
      <x:c r="I17" s="60" t="n">
        <x:f>COUNTIFS('Risk Register'!$A$5:$A$104,"&lt;&gt;",'Risk Register'!$G$5:$G$104,$D17,'Risk Register'!$H$5:$H$104,I$13)</x:f>
        <x:v>0</x:v>
      </x:c>
    </x:row>
    <x:row r="18">
      <x:c r="A18" s="77" t="str">
        <x:v>Note</x:v>
      </x:c>
      <x:c r="B18" s="14" t="str">
        <x:v>It does not automatically decide likelihood or impact; those remain assessor judgments.</x:v>
      </x:c>
      <x:c r="D18" s="67" t="n">
        <x:v>1</x:v>
      </x:c>
      <x:c r="E18" s="70" t="n">
        <x:f>COUNTIFS('Risk Register'!$A$5:$A$104,"&lt;&gt;",'Risk Register'!$G$5:$G$104,$D18,'Risk Register'!$H$5:$H$104,E$13)</x:f>
        <x:v>0</x:v>
      </x:c>
      <x:c r="F18" s="70" t="n">
        <x:f>COUNTIFS('Risk Register'!$A$5:$A$104,"&lt;&gt;",'Risk Register'!$G$5:$G$104,$D18,'Risk Register'!$H$5:$H$104,F$13)</x:f>
        <x:v>0</x:v>
      </x:c>
      <x:c r="G18" s="70" t="n">
        <x:f>COUNTIFS('Risk Register'!$A$5:$A$104,"&lt;&gt;",'Risk Register'!$G$5:$G$104,$D18,'Risk Register'!$H$5:$H$104,G$13)</x:f>
        <x:v>0</x:v>
      </x:c>
      <x:c r="H18" s="70" t="n">
        <x:f>COUNTIFS('Risk Register'!$A$5:$A$104,"&lt;&gt;",'Risk Register'!$G$5:$G$104,$D18,'Risk Register'!$H$5:$H$104,H$13)</x:f>
        <x:v>0</x:v>
      </x:c>
      <x:c r="I18" s="56" t="n">
        <x:f>COUNTIFS('Risk Register'!$A$5:$A$104,"&lt;&gt;",'Risk Register'!$G$5:$G$104,$D18,'Risk Register'!$H$5:$H$104,I$13)</x:f>
        <x:v>0</x:v>
      </x:c>
    </x:row>
    <x:row r="21" ht="34" customHeight="1">
      <x:c r="A21" s="88" t="str">
        <x:v>Record review</x:v>
      </x:c>
      <x:c r="B21" s="88" t="str">
        <x:v>Count</x:v>
      </x:c>
    </x:row>
    <x:row r="22" ht="28" customHeight="1">
      <x:c r="A22" s="14" t="str">
        <x:v>Risk records</x:v>
      </x:c>
      <x:c r="B22" s="108" t="n">
        <x:f>COUNTA('Risk Register'!$A$5:$A$104)</x:f>
        <x:v>30</x:v>
      </x:c>
    </x:row>
    <x:row r="23" ht="28" customHeight="1">
      <x:c r="A23" s="14" t="str">
        <x:v>Residual scores not assessed</x:v>
      </x:c>
      <x:c r="B23" s="108" t="n">
        <x:f>COUNTIF('Risk Register'!$P$5:$P$104,"Not assessed")</x:f>
        <x:v>0</x:v>
      </x:c>
    </x:row>
    <x:row r="24" ht="28" customHeight="1">
      <x:c r="A24" s="14" t="str">
        <x:v>Input checks needing attention</x:v>
      </x:c>
      <x:c r="B24" s="108" t="n">
        <x:f>COUNTIF('Risk Register'!$AD$5:$AD$104,"Missing ID")+COUNTIF('Risk Register'!$AD$5:$AD$104,"Duplicate ID")+COUNTIF('Risk Register'!$AD$5:$AD$104,"Missing risk context")+COUNTIF('Risk Register'!$AD$5:$AD$104,"Incomplete or invalid scores")+COUNTIF('Risk Register'!$AD$5:$AD$104,"Missing treatment or owner")+COUNTIF('Risk Register'!$AD$5:$AD$104,"Missing or invalid target date")</x:f>
        <x:v>0</x:v>
      </x:c>
    </x:row>
    <x:row r="25" ht="28" customHeight="1">
      <x:c r="A25" s="14" t="str">
        <x:v>Assessment support missing</x:v>
      </x:c>
      <x:c r="B25" s="108" t="n">
        <x:f>COUNTIF('Risk Register'!$AE$5:$AE$104,"Add assessment support")</x:f>
        <x:v>22</x:v>
      </x:c>
    </x:row>
    <x:row r="26" ht="28" customHeight="1">
      <x:c r="A26" s="14" t="str">
        <x:v>Closure reviews needed</x:v>
      </x:c>
      <x:c r="B26" s="108" t="n">
        <x:f>COUNTIF('Risk Register'!$AE$5:$AE$104,"Closure review needed")</x:f>
        <x:v>3</x:v>
      </x:c>
    </x:row>
  </x:sheetData>
  <x:mergeCells>
    <x:mergeCell ref="A1:L1"/>
    <x:mergeCell ref="D3:I3"/>
    <x:mergeCell ref="D12:I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10" hidden="0" customWidth="1"/>
    <x:col min="2" max="2" width="52" hidden="0" customWidth="1"/>
    <x:col min="3" max="3" width="16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48" hidden="0" customWidth="1"/>
    <x:col min="10" max="10" width="38" hidden="0" customWidth="1"/>
    <x:col min="11" max="11" width="53" hidden="0" customWidth="1"/>
    <x:col min="12" max="12" width="22" hidden="0" customWidth="1"/>
    <x:col min="13" max="13" width="47" hidden="0" customWidth="1"/>
    <x:col min="14" max="14" width="18" hidden="0" customWidth="1"/>
    <x:col min="15" max="15" width="45" hidden="0" customWidth="1"/>
    <x:col min="16" max="16" width="25" hidden="0" customWidth="1"/>
    <x:col min="17" max="17" width="29" hidden="0" customWidth="1"/>
  </x:cols>
  <x:sheetData>
    <x:row r="1">
      <x:c r="A1" s="7" t="str">
        <x:v>Risk Treatment Log</x:v>
      </x:c>
    </x:row>
    <x:row r="2">
      <x:c r="A2" s="79" t="str">
        <x:v>Linked view of the main assessment. Edit records on the main sheet. Filter checks, status, owner or priority. Rows are not automatically sorted; notes do not establish evidence quality.</x:v>
      </x:c>
    </x:row>
    <x:row r="4" ht="34" customHeight="1">
      <x:c r="A4" s="88" t="str">
        <x:v>Risk ID</x:v>
      </x:c>
      <x:c r="B4" s="88" t="str">
        <x:v>Risk Statement</x:v>
      </x:c>
      <x:c r="C4" s="88" t="str">
        <x:v>Residual Rating</x:v>
      </x:c>
      <x:c r="D4" s="88" t="str">
        <x:v>Treatment</x:v>
      </x:c>
      <x:c r="E4" s="88" t="str">
        <x:v>Owner</x:v>
      </x:c>
      <x:c r="F4" s="88" t="str">
        <x:v>Status</x:v>
      </x:c>
      <x:c r="G4" s="88" t="str">
        <x:v>Target Date</x:v>
      </x:c>
      <x:c r="H4" s="88" t="str">
        <x:v>Days to Target</x:v>
      </x:c>
      <x:c r="I4" s="88" t="str">
        <x:v>Recommended Action</x:v>
      </x:c>
      <x:c r="J4" s="88" t="str">
        <x:v>Evidence / Notes</x:v>
      </x:c>
      <x:c r="K4" s="88" t="str">
        <x:v>Assessment Rationale</x:v>
      </x:c>
      <x:c r="L4" s="88" t="str">
        <x:v>Evidence Basis</x:v>
      </x:c>
      <x:c r="M4" s="88" t="str">
        <x:v>Evidence Reference or Request</x:v>
      </x:c>
      <x:c r="N4" s="88" t="str">
        <x:v>Assessment Review Date</x:v>
      </x:c>
      <x:c r="O4" s="88" t="str">
        <x:v>Closure or Acceptance Note</x:v>
      </x:c>
      <x:c r="P4" s="88" t="str">
        <x:v>Input Check</x:v>
      </x:c>
      <x:c r="Q4" s="88" t="str">
        <x:v>Follow-up Check</x:v>
      </x:c>
    </x:row>
    <x:row r="5" ht="100" customHeight="1">
      <x:c r="A5" s="14" t="str">
        <x:f>IF('Risk Register'!A5="","",'Risk Register'!A5)</x:f>
        <x:v>R-001</x:v>
      </x:c>
      <x:c r="B5" s="14" t="str">
        <x:f>IF(A5="","",'Risk Register'!D5)</x:f>
        <x:v>A stolen privileged account could give an attacker administrative access to business systems and customer data.</x:v>
      </x:c>
      <x:c r="C5" s="14" t="str">
        <x:f>IF(A5="","",'Risk Register'!P5)</x:f>
        <x:v>High</x:v>
      </x:c>
      <x:c r="D5" s="14" t="str">
        <x:f>IF(A5="","",'Risk Register'!Q5)</x:f>
        <x:v>Mitigate</x:v>
      </x:c>
      <x:c r="E5" s="14" t="str">
        <x:f>IF(A5="","",'Risk Register'!S5)</x:f>
        <x:v>IT Manager</x:v>
      </x:c>
      <x:c r="F5" s="14" t="str">
        <x:f>IF(A5="","",'Risk Register'!T5)</x:f>
        <x:v>In Progress</x:v>
      </x:c>
      <x:c r="G5" s="83" t="n">
        <x:f>IF(A5="","",IF(ISNUMBER('Risk Register'!U5),IF('Risk Register'!U5&gt;0,'Risk Register'!U5,""),""))</x:f>
        <x:v>46302</x:v>
      </x:c>
      <x:c r="H5" s="14" t="n">
        <x:f>IF(A5="","",IF(OR(F5="Closed",F5="Accepted"),"",IF(ISNUMBER('Risk Register'!U5),IF('Risk Register'!U5&gt;0,'Risk Register'!U5-TODAY(),""),"")))</x:f>
        <x:v>22</x:v>
      </x:c>
      <x:c r="I5" s="14" t="str">
        <x:f>IF(A5="","",'Risk Register'!R5)</x:f>
        <x:v>Require phishing-resistant MFA for privileged roles and review privileged access quarterly.</x:v>
      </x:c>
      <x:c r="J5" s="14" t="str">
        <x:f>IF(A5="","",'Risk Register'!X5)</x:f>
        <x:v>Simulated scenario; MFA rollout partially complete.</x:v>
      </x:c>
      <x:c r="K5" s="96" t="str">
        <x:f>IF(A5="","",IF('Risk Register'!Y5="","",'Risk Register'!Y5))</x:f>
        <x:v>Scenario assumption: privileged access makes impact severe (5). Standard MFA lowers estimated likelihood from 4 to 2, but the effect is untested. Phishing-resistant MFA remains a proposed improvement.</x:v>
      </x:c>
      <x:c r="L5" s="96" t="str">
        <x:f>IF(A5="","",IF('Risk Register'!Z5="","",'Risk Register'!Z5))</x:f>
        <x:v>Scenario only</x:v>
      </x:c>
      <x:c r="M5" s="96" t="str">
        <x:f>IF(A5="","",IF('Risk Register'!AA5="","",'Risk Register'!AA5))</x:f>
        <x:v>To collect: privileged-user inventory, MFA enrollment and enforcement settings, sign-in samples. No evidence files supplied.</x:v>
      </x:c>
      <x:c r="N5" s="98" t="n">
        <x:f>IF(A5="","",IF('Risk Register'!AB5="","",'Risk Register'!AB5))</x:f>
        <x:v>46281</x:v>
      </x:c>
      <x:c r="O5" s="96" t="str">
        <x:f>IF(A5="","",IF('Risk Register'!AC5="","",'Risk Register'!AC5))</x:f>
      </x:c>
      <x:c r="P5" s="96" t="str">
        <x:f>IF(A5="","",'Risk Register'!AD5)</x:f>
        <x:v>OK</x:v>
      </x:c>
      <x:c r="Q5" s="96" t="str">
        <x:f>IF(A5="","",'Risk Register'!AE5)</x:f>
        <x:v>Notes present</x:v>
      </x:c>
    </x:row>
    <x:row r="6" ht="100" customHeight="1">
      <x:c r="A6" s="14" t="str">
        <x:f>IF('Risk Register'!A6="","",'Risk Register'!A6)</x:f>
        <x:v>R-002</x:v>
      </x:c>
      <x:c r="B6" s="14" t="str">
        <x:f>IF(A6="","",'Risk Register'!D6)</x:f>
        <x:v>A terminated employee account could remain active and be used to access company systems after separation.</x:v>
      </x:c>
      <x:c r="C6" s="14" t="str">
        <x:f>IF(A6="","",'Risk Register'!P6)</x:f>
        <x:v>High</x:v>
      </x:c>
      <x:c r="D6" s="14" t="str">
        <x:f>IF(A6="","",'Risk Register'!Q6)</x:f>
        <x:v>Mitigate</x:v>
      </x:c>
      <x:c r="E6" s="14" t="str">
        <x:f>IF(A6="","",'Risk Register'!S6)</x:f>
        <x:v>HR Manager</x:v>
      </x:c>
      <x:c r="F6" s="14" t="str">
        <x:f>IF(A6="","",'Risk Register'!T6)</x:f>
        <x:v>Planned</x:v>
      </x:c>
      <x:c r="G6" s="83" t="n">
        <x:f>IF(A6="","",IF(ISNUMBER('Risk Register'!U6),IF('Risk Register'!U6&gt;0,'Risk Register'!U6,""),""))</x:f>
        <x:v>46317</x:v>
      </x:c>
      <x:c r="H6" s="14" t="n">
        <x:f>IF(A6="","",IF(OR(F6="Closed",F6="Accepted"),"",IF(ISNUMBER('Risk Register'!U6),IF('Risk Register'!U6&gt;0,'Risk Register'!U6-TODAY(),""),"")))</x:f>
        <x:v>37</x:v>
      </x:c>
      <x:c r="I6" s="14" t="str">
        <x:f>IF(A6="","",'Risk Register'!R6)</x:f>
        <x:v>Formalize joiner-mover-leaver workflow and review inactive accounts monthly.</x:v>
      </x:c>
      <x:c r="J6" s="14" t="str">
        <x:f>IF(A6="","",'Risk Register'!X6)</x:f>
        <x:v>Validate disablement timestamps during periodic review.</x:v>
      </x:c>
      <x:c r="K6" s="96" t="str">
        <x:f>IF(A6="","",IF('Risk Register'!Y6="","",'Risk Register'!Y6))</x:f>
        <x:v>Scenario assumption: manual disablement lowers likelihood from 3 to 2. Impact remains severe (5); no separate control limiting an account compromise is modeled. Validate both estimates with offboarding records.</x:v>
      </x:c>
      <x:c r="L6" s="96" t="str">
        <x:f>IF(A6="","",IF('Risk Register'!Z6="","",'Risk Register'!Z6))</x:f>
        <x:v>Scenario only</x:v>
      </x:c>
      <x:c r="M6" s="96" t="str">
        <x:f>IF(A6="","",IF('Risk Register'!AA6="","",'Risk Register'!AA6))</x:f>
        <x:v>To collect: HR departures, account disablement timestamps and removal tickets. No evidence files supplied.</x:v>
      </x:c>
      <x:c r="N6" s="98" t="n">
        <x:f>IF(A6="","",IF('Risk Register'!AB6="","",'Risk Register'!AB6))</x:f>
        <x:v>46281</x:v>
      </x:c>
      <x:c r="O6" s="96" t="str">
        <x:f>IF(A6="","",IF('Risk Register'!AC6="","",'Risk Register'!AC6))</x:f>
      </x:c>
      <x:c r="P6" s="96" t="str">
        <x:f>IF(A6="","",'Risk Register'!AD6)</x:f>
        <x:v>OK</x:v>
      </x:c>
      <x:c r="Q6" s="96" t="str">
        <x:f>IF(A6="","",'Risk Register'!AE6)</x:f>
        <x:v>Notes present</x:v>
      </x:c>
    </x:row>
    <x:row r="7" ht="100" customHeight="1">
      <x:c r="A7" s="14" t="str">
        <x:f>IF('Risk Register'!A7="","",'Risk Register'!A7)</x:f>
        <x:v>R-003</x:v>
      </x:c>
      <x:c r="B7" s="14" t="str">
        <x:f>IF(A7="","",'Risk Register'!D7)</x:f>
        <x:v>Excessive group or role permissions could expose sensitive files to users who do not need access.</x:v>
      </x:c>
      <x:c r="C7" s="14" t="str">
        <x:f>IF(A7="","",'Risk Register'!P7)</x:f>
        <x:v>Medium</x:v>
      </x:c>
      <x:c r="D7" s="14" t="str">
        <x:f>IF(A7="","",'Risk Register'!Q7)</x:f>
        <x:v>Mitigate</x:v>
      </x:c>
      <x:c r="E7" s="14" t="str">
        <x:f>IF(A7="","",'Risk Register'!S7)</x:f>
        <x:v>IT Manager</x:v>
      </x:c>
      <x:c r="F7" s="14" t="str">
        <x:f>IF(A7="","",'Risk Register'!T7)</x:f>
        <x:v>In Progress</x:v>
      </x:c>
      <x:c r="G7" s="83" t="n">
        <x:f>IF(A7="","",IF(ISNUMBER('Risk Register'!U7),IF('Risk Register'!U7&gt;0,'Risk Register'!U7,""),""))</x:f>
        <x:v>46332</x:v>
      </x:c>
      <x:c r="H7" s="14" t="n">
        <x:f>IF(A7="","",IF(OR(F7="Closed",F7="Accepted"),"",IF(ISNUMBER('Risk Register'!U7),IF('Risk Register'!U7&gt;0,'Risk Register'!U7-TODAY(),""),"")))</x:f>
        <x:v>52</x:v>
      </x:c>
      <x:c r="I7" s="14" t="str">
        <x:f>IF(A7="","",'Risk Register'!R7)</x:f>
        <x:v>Run quarterly access reviews and remove unnecessary permissions.</x:v>
      </x:c>
      <x:c r="J7" s="14" t="str">
        <x:f>IF(A7="","",'Risk Register'!X7)</x:f>
        <x:v>Start with privileged and sensitive-data groups.</x:v>
      </x:c>
      <x:c r="K7" s="96" t="str">
        <x:f>IF(A7="","",IF('Risk Register'!Y7="","",'Risk Register'!Y7))</x:f>
        <x:v>Scenario assumption: manager approval and role-based groups lower likelihood from 4 to 2. Impact stays major (4) because excessive access could still expose sensitive files. Access-review evidence is needed.</x:v>
      </x:c>
      <x:c r="L7" s="96" t="str">
        <x:f>IF(A7="","",IF('Risk Register'!Z7="","",'Risk Register'!Z7))</x:f>
        <x:v>Scenario only</x:v>
      </x:c>
      <x:c r="M7" s="96" t="str">
        <x:f>IF(A7="","",IF('Risk Register'!AA7="","",'Risk Register'!AA7))</x:f>
        <x:v>To collect: group membership, role assignments, manager approvals and review results. No evidence files supplied.</x:v>
      </x:c>
      <x:c r="N7" s="98" t="n">
        <x:f>IF(A7="","",IF('Risk Register'!AB7="","",'Risk Register'!AB7))</x:f>
        <x:v>46281</x:v>
      </x:c>
      <x:c r="O7" s="96" t="str">
        <x:f>IF(A7="","",IF('Risk Register'!AC7="","",'Risk Register'!AC7))</x:f>
      </x:c>
      <x:c r="P7" s="96" t="str">
        <x:f>IF(A7="","",'Risk Register'!AD7)</x:f>
        <x:v>OK</x:v>
      </x:c>
      <x:c r="Q7" s="96" t="str">
        <x:f>IF(A7="","",'Risk Register'!AE7)</x:f>
        <x:v>Notes present</x:v>
      </x:c>
    </x:row>
    <x:row r="8" ht="100" customHeight="1">
      <x:c r="A8" s="14" t="str">
        <x:f>IF('Risk Register'!A8="","",'Risk Register'!A8)</x:f>
        <x:v>R-004</x:v>
      </x:c>
      <x:c r="B8" s="14" t="str">
        <x:f>IF(A8="","",'Risk Register'!D8)</x:f>
        <x:v>Overly permissive network rules could expose an internal service to the internet.</x:v>
      </x:c>
      <x:c r="C8" s="14" t="str">
        <x:f>IF(A8="","",'Risk Register'!P8)</x:f>
        <x:v>High</x:v>
      </x:c>
      <x:c r="D8" s="14" t="str">
        <x:f>IF(A8="","",'Risk Register'!Q8)</x:f>
        <x:v>Mitigate</x:v>
      </x:c>
      <x:c r="E8" s="14" t="str">
        <x:f>IF(A8="","",'Risk Register'!S8)</x:f>
        <x:v>Cloud Owner</x:v>
      </x:c>
      <x:c r="F8" s="14" t="str">
        <x:f>IF(A8="","",'Risk Register'!T8)</x:f>
        <x:v>In Progress</x:v>
      </x:c>
      <x:c r="G8" s="83" t="n">
        <x:f>IF(A8="","",IF(ISNUMBER('Risk Register'!U8),IF('Risk Register'!U8&gt;0,'Risk Register'!U8,""),""))</x:f>
        <x:v>46293</x:v>
      </x:c>
      <x:c r="H8" s="14" t="n">
        <x:f>IF(A8="","",IF(OR(F8="Closed",F8="Accepted"),"",IF(ISNUMBER('Risk Register'!U8),IF('Risk Register'!U8&gt;0,'Risk Register'!U8-TODAY(),""),"")))</x:f>
        <x:v>13</x:v>
      </x:c>
      <x:c r="I8" s="14" t="str">
        <x:f>IF(A8="","",'Risk Register'!R8)</x:f>
        <x:v>Restrict ingress to approved ports and sources; add recurring configuration reviews.</x:v>
      </x:c>
      <x:c r="J8" s="14" t="str">
        <x:f>IF(A8="","",'Risk Register'!X8)</x:f>
        <x:v>Prioritize internet-facing resources.</x:v>
      </x:c>
      <x:c r="K8" s="96" t="str">
        <x:f>IF(A8="","",IF('Risk Register'!Y8="","",'Risk Register'!Y8))</x:f>
        <x:v>Scenario assumption: firewall rules and manual reviews lower likelihood from 4 to 2. Impact remains severe (5) if a production service is exposed. Configuration evidence is needed to support this estimate.</x:v>
      </x:c>
      <x:c r="L8" s="96" t="str">
        <x:f>IF(A8="","",IF('Risk Register'!Z8="","",'Risk Register'!Z8))</x:f>
        <x:v>Scenario only</x:v>
      </x:c>
      <x:c r="M8" s="96" t="str">
        <x:f>IF(A8="","",IF('Risk Register'!AA8="","",'Risk Register'!AA8))</x:f>
        <x:v>To collect: security-group export, approved ingress baseline and configuration review record. No evidence files supplied.</x:v>
      </x:c>
      <x:c r="N8" s="98" t="n">
        <x:f>IF(A8="","",IF('Risk Register'!AB8="","",'Risk Register'!AB8))</x:f>
        <x:v>46281</x:v>
      </x:c>
      <x:c r="O8" s="96" t="str">
        <x:f>IF(A8="","",IF('Risk Register'!AC8="","",'Risk Register'!AC8))</x:f>
      </x:c>
      <x:c r="P8" s="96" t="str">
        <x:f>IF(A8="","",'Risk Register'!AD8)</x:f>
        <x:v>OK</x:v>
      </x:c>
      <x:c r="Q8" s="96" t="str">
        <x:f>IF(A8="","",'Risk Register'!AE8)</x:f>
        <x:v>Notes present</x:v>
      </x:c>
    </x:row>
    <x:row r="9" ht="100" customHeight="1">
      <x:c r="A9" s="14" t="str">
        <x:f>IF('Risk Register'!A9="","",'Risk Register'!A9)</x:f>
        <x:v>R-005</x:v>
      </x:c>
      <x:c r="B9" s="14" t="str">
        <x:f>IF(A9="","",'Risk Register'!D9)</x:f>
        <x:v>A cloud misconfiguration could expose restricted customer data to unauthorized users.</x:v>
      </x:c>
      <x:c r="C9" s="14" t="str">
        <x:f>IF(A9="","",'Risk Register'!P9)</x:f>
        <x:v>High</x:v>
      </x:c>
      <x:c r="D9" s="14" t="str">
        <x:f>IF(A9="","",'Risk Register'!Q9)</x:f>
        <x:v>Mitigate</x:v>
      </x:c>
      <x:c r="E9" s="14" t="str">
        <x:f>IF(A9="","",'Risk Register'!S9)</x:f>
        <x:v>Data Owner</x:v>
      </x:c>
      <x:c r="F9" s="14" t="str">
        <x:f>IF(A9="","",'Risk Register'!T9)</x:f>
        <x:v>Planned</x:v>
      </x:c>
      <x:c r="G9" s="83" t="n">
        <x:f>IF(A9="","",IF(ISNUMBER('Risk Register'!U9),IF('Risk Register'!U9&gt;0,'Risk Register'!U9,""),""))</x:f>
        <x:v>46302</x:v>
      </x:c>
      <x:c r="H9" s="14" t="n">
        <x:f>IF(A9="","",IF(OR(F9="Closed",F9="Accepted"),"",IF(ISNUMBER('Risk Register'!U9),IF('Risk Register'!U9&gt;0,'Risk Register'!U9-TODAY(),""),"")))</x:f>
        <x:v>22</x:v>
      </x:c>
      <x:c r="I9" s="14" t="str">
        <x:f>IF(A9="","",'Risk Register'!R9)</x:f>
        <x:v>Use private access, policy checks, and alerts for public exposure.</x:v>
      </x:c>
      <x:c r="J9" s="14" t="str">
        <x:f>IF(A9="","",'Risk Register'!X9)</x:f>
        <x:v>Simulated configuration risk.</x:v>
      </x:c>
      <x:c r="K9" s="96" t="str">
        <x:f>IF(A9="","",IF('Risk Register'!Y9="","",'Risk Register'!Y9))</x:f>
        <x:v>Scenario assumption: IAM roles lower likelihood from 3 to 2. Encryption at rest does not prevent every authorized-query or public-access exposure, so impact remains severe (5). Validate configuration and access paths.</x:v>
      </x:c>
      <x:c r="L9" s="96" t="str">
        <x:f>IF(A9="","",IF('Risk Register'!Z9="","",'Risk Register'!Z9))</x:f>
        <x:v>Scenario only</x:v>
      </x:c>
      <x:c r="M9" s="96" t="str">
        <x:f>IF(A9="","",IF('Risk Register'!AA9="","",'Risk Register'!AA9))</x:f>
        <x:v>To collect: database access settings, IAM permissions and public-exposure checks. No evidence files supplied.</x:v>
      </x:c>
      <x:c r="N9" s="98" t="n">
        <x:f>IF(A9="","",IF('Risk Register'!AB9="","",'Risk Register'!AB9))</x:f>
        <x:v>46281</x:v>
      </x:c>
      <x:c r="O9" s="96" t="str">
        <x:f>IF(A9="","",IF('Risk Register'!AC9="","",'Risk Register'!AC9))</x:f>
      </x:c>
      <x:c r="P9" s="96" t="str">
        <x:f>IF(A9="","",'Risk Register'!AD9)</x:f>
        <x:v>OK</x:v>
      </x:c>
      <x:c r="Q9" s="96" t="str">
        <x:f>IF(A9="","",'Risk Register'!AE9)</x:f>
        <x:v>Notes present</x:v>
      </x:c>
    </x:row>
    <x:row r="10" ht="100" customHeight="1">
      <x:c r="A10" s="14" t="str">
        <x:f>IF('Risk Register'!A10="","",'Risk Register'!A10)</x:f>
        <x:v>R-006</x:v>
      </x:c>
      <x:c r="B10" s="14" t="str">
        <x:f>IF(A10="","",'Risk Register'!D10)</x:f>
        <x:v>Malware on an employee laptop could steal credentials or provide an attacker a foothold in the environment.</x:v>
      </x:c>
      <x:c r="C10" s="14" t="str">
        <x:f>IF(A10="","",'Risk Register'!P10)</x:f>
        <x:v>Medium</x:v>
      </x:c>
      <x:c r="D10" s="14" t="str">
        <x:f>IF(A10="","",'Risk Register'!Q10)</x:f>
        <x:v>Mitigate</x:v>
      </x:c>
      <x:c r="E10" s="14" t="str">
        <x:f>IF(A10="","",'Risk Register'!S10)</x:f>
        <x:v>Security Manager</x:v>
      </x:c>
      <x:c r="F10" s="14" t="str">
        <x:f>IF(A10="","",'Risk Register'!T10)</x:f>
        <x:v>Planned</x:v>
      </x:c>
      <x:c r="G10" s="83" t="n">
        <x:f>IF(A10="","",IF(ISNUMBER('Risk Register'!U10),IF('Risk Register'!U10&gt;0,'Risk Register'!U10,""),""))</x:f>
        <x:v>46317</x:v>
      </x:c>
      <x:c r="H10" s="14" t="n">
        <x:f>IF(A10="","",IF(OR(F10="Closed",F10="Accepted"),"",IF(ISNUMBER('Risk Register'!U10),IF('Risk Register'!U10&gt;0,'Risk Register'!U10-TODAY(),""),"")))</x:f>
        <x:v>37</x:v>
      </x:c>
      <x:c r="I10" s="14" t="str">
        <x:f>IF(A10="","",'Risk Register'!R10)</x:f>
        <x:v>Deploy EDR and a secure endpoint baseline; reduce local administrator access.</x:v>
      </x:c>
      <x:c r="J10" s="14" t="str">
        <x:f>IF(A10="","",'Risk Register'!X10)</x:f>
        <x:v>Focus first on privileged and high-risk users.</x:v>
      </x:c>
      <x:c r="K10" s="96" t="str">
        <x:f>IF(A10="","",IF('Risk Register'!Y10="","",'Risk Register'!Y10))</x:f>
      </x:c>
      <x:c r="L10" s="96" t="str">
        <x:f>IF(A10="","",IF('Risk Register'!Z10="","",'Risk Register'!Z10))</x:f>
        <x:v>Scenario only</x:v>
      </x:c>
      <x:c r="M10" s="96" t="str">
        <x:f>IF(A10="","",IF('Risk Register'!AA10="","",'Risk Register'!AA10))</x:f>
      </x:c>
      <x:c r="N10" s="98" t="str">
        <x:f>IF(A10="","",IF('Risk Register'!AB10="","",'Risk Register'!AB10))</x:f>
      </x:c>
      <x:c r="O10" s="96" t="str">
        <x:f>IF(A10="","",IF('Risk Register'!AC10="","",'Risk Register'!AC10))</x:f>
      </x:c>
      <x:c r="P10" s="96" t="str">
        <x:f>IF(A10="","",'Risk Register'!AD10)</x:f>
        <x:v>OK</x:v>
      </x:c>
      <x:c r="Q10" s="96" t="str">
        <x:f>IF(A10="","",'Risk Register'!AE10)</x:f>
        <x:v>Add assessment support</x:v>
      </x:c>
    </x:row>
    <x:row r="11" ht="100" customHeight="1">
      <x:c r="A11" s="14" t="str">
        <x:f>IF('Risk Register'!A11="","",'Risk Register'!A11)</x:f>
        <x:v>R-007</x:v>
      </x:c>
      <x:c r="B11" s="14" t="str">
        <x:f>IF(A11="","",'Risk Register'!D11)</x:f>
        <x:v>A lost laptop could expose company data if local information is not adequately protected.</x:v>
      </x:c>
      <x:c r="C11" s="14" t="str">
        <x:f>IF(A11="","",'Risk Register'!P11)</x:f>
        <x:v>Low</x:v>
      </x:c>
      <x:c r="D11" s="14" t="str">
        <x:f>IF(A11="","",'Risk Register'!Q11)</x:f>
        <x:v>Mitigate</x:v>
      </x:c>
      <x:c r="E11" s="14" t="str">
        <x:f>IF(A11="","",'Risk Register'!S11)</x:f>
        <x:v>IT Manager</x:v>
      </x:c>
      <x:c r="F11" s="14" t="str">
        <x:f>IF(A11="","",'Risk Register'!T11)</x:f>
        <x:v>Closed</x:v>
      </x:c>
      <x:c r="G11" s="83" t="n">
        <x:f>IF(A11="","",IF(ISNUMBER('Risk Register'!U11),IF('Risk Register'!U11&gt;0,'Risk Register'!U11,""),""))</x:f>
        <x:v>46258</x:v>
      </x:c>
      <x:c r="H11" s="14" t="str">
        <x:f>IF(A11="","",IF(OR(F11="Closed",F11="Accepted"),"",IF(ISNUMBER('Risk Register'!U11),IF('Risk Register'!U11&gt;0,'Risk Register'!U11-TODAY(),""),"")))</x:f>
      </x:c>
      <x:c r="I11" s="14" t="str">
        <x:f>IF(A11="","",'Risk Register'!R11)</x:f>
        <x:v>Verify full-disk encryption and enable remote wipe on all managed laptops.</x:v>
      </x:c>
      <x:c r="J11" s="14" t="str">
        <x:f>IF(A11="","",'Risk Register'!X11)</x:f>
        <x:v>Simulated closure: encryption compliance verified.</x:v>
      </x:c>
      <x:c r="K11" s="96" t="str">
        <x:f>IF(A11="","",IF('Risk Register'!Y11="","",'Risk Register'!Y11))</x:f>
      </x:c>
      <x:c r="L11" s="96" t="str">
        <x:f>IF(A11="","",IF('Risk Register'!Z11="","",'Risk Register'!Z11))</x:f>
        <x:v>Scenario only</x:v>
      </x:c>
      <x:c r="M11" s="96" t="str">
        <x:f>IF(A11="","",IF('Risk Register'!AA11="","",'Risk Register'!AA11))</x:f>
      </x:c>
      <x:c r="N11" s="98" t="str">
        <x:f>IF(A11="","",IF('Risk Register'!AB11="","",'Risk Register'!AB11))</x:f>
      </x:c>
      <x:c r="O11" s="96" t="str">
        <x:f>IF(A11="","",IF('Risk Register'!AC11="","",'Risk Register'!AC11))</x:f>
      </x:c>
      <x:c r="P11" s="96" t="str">
        <x:f>IF(A11="","",'Risk Register'!AD11)</x:f>
        <x:v>OK</x:v>
      </x:c>
      <x:c r="Q11" s="96" t="str">
        <x:f>IF(A11="","",'Risk Register'!AE11)</x:f>
        <x:v>Closure review needed</x:v>
      </x:c>
    </x:row>
    <x:row r="12" ht="100" customHeight="1">
      <x:c r="A12" s="14" t="str">
        <x:f>IF('Risk Register'!A12="","",'Risk Register'!A12)</x:f>
        <x:v>R-008</x:v>
      </x:c>
      <x:c r="B12" s="14" t="str">
        <x:f>IF(A12="","",'Risk Register'!D12)</x:f>
        <x:v>Known vulnerabilities could remain exploitable longer than the business can tolerate.</x:v>
      </x:c>
      <x:c r="C12" s="14" t="str">
        <x:f>IF(A12="","",'Risk Register'!P12)</x:f>
        <x:v>High</x:v>
      </x:c>
      <x:c r="D12" s="14" t="str">
        <x:f>IF(A12="","",'Risk Register'!Q12)</x:f>
        <x:v>Mitigate</x:v>
      </x:c>
      <x:c r="E12" s="14" t="str">
        <x:f>IF(A12="","",'Risk Register'!S12)</x:f>
        <x:v>Security Manager</x:v>
      </x:c>
      <x:c r="F12" s="14" t="str">
        <x:f>IF(A12="","",'Risk Register'!T12)</x:f>
        <x:v>In Progress</x:v>
      </x:c>
      <x:c r="G12" s="83" t="n">
        <x:f>IF(A12="","",IF(ISNUMBER('Risk Register'!U12),IF('Risk Register'!U12&gt;0,'Risk Register'!U12,""),""))</x:f>
        <x:v>46302</x:v>
      </x:c>
      <x:c r="H12" s="14" t="n">
        <x:f>IF(A12="","",IF(OR(F12="Closed",F12="Accepted"),"",IF(ISNUMBER('Risk Register'!U12),IF('Risk Register'!U12&gt;0,'Risk Register'!U12-TODAY(),""),"")))</x:f>
        <x:v>22</x:v>
      </x:c>
      <x:c r="I12" s="14" t="str">
        <x:f>IF(A12="","",'Risk Register'!R12)</x:f>
        <x:v>Establish recurring scanning and remediation SLAs based on severity and exposure.</x:v>
      </x:c>
      <x:c r="J12" s="14" t="str">
        <x:f>IF(A12="","",'Risk Register'!X12)</x:f>
        <x:v>Track exceptions and internet-facing findings separately.</x:v>
      </x:c>
      <x:c r="K12" s="96" t="str">
        <x:f>IF(A12="","",IF('Risk Register'!Y12="","",'Risk Register'!Y12))</x:f>
      </x:c>
      <x:c r="L12" s="96" t="str">
        <x:f>IF(A12="","",IF('Risk Register'!Z12="","",'Risk Register'!Z12))</x:f>
        <x:v>Scenario only</x:v>
      </x:c>
      <x:c r="M12" s="96" t="str">
        <x:f>IF(A12="","",IF('Risk Register'!AA12="","",'Risk Register'!AA12))</x:f>
      </x:c>
      <x:c r="N12" s="98" t="str">
        <x:f>IF(A12="","",IF('Risk Register'!AB12="","",'Risk Register'!AB12))</x:f>
      </x:c>
      <x:c r="O12" s="96" t="str">
        <x:f>IF(A12="","",IF('Risk Register'!AC12="","",'Risk Register'!AC12))</x:f>
      </x:c>
      <x:c r="P12" s="96" t="str">
        <x:f>IF(A12="","",'Risk Register'!AD12)</x:f>
        <x:v>OK</x:v>
      </x:c>
      <x:c r="Q12" s="96" t="str">
        <x:f>IF(A12="","",'Risk Register'!AE12)</x:f>
        <x:v>Add assessment support</x:v>
      </x:c>
    </x:row>
    <x:row r="13" ht="100" customHeight="1">
      <x:c r="A13" s="14" t="str">
        <x:f>IF('Risk Register'!A13="","",'Risk Register'!A13)</x:f>
        <x:v>R-009</x:v>
      </x:c>
      <x:c r="B13" s="14" t="str">
        <x:f>IF(A13="","",'Risk Register'!D13)</x:f>
        <x:v>A vulnerable third-party dependency could introduce an exploitable weakness into the SaaS application.</x:v>
      </x:c>
      <x:c r="C13" s="14" t="str">
        <x:f>IF(A13="","",'Risk Register'!P13)</x:f>
        <x:v>Medium</x:v>
      </x:c>
      <x:c r="D13" s="14" t="str">
        <x:f>IF(A13="","",'Risk Register'!Q13)</x:f>
        <x:v>Mitigate</x:v>
      </x:c>
      <x:c r="E13" s="14" t="str">
        <x:f>IF(A13="","",'Risk Register'!S13)</x:f>
        <x:v>Application Owner</x:v>
      </x:c>
      <x:c r="F13" s="14" t="str">
        <x:f>IF(A13="","",'Risk Register'!T13)</x:f>
        <x:v>Planned</x:v>
      </x:c>
      <x:c r="G13" s="83" t="n">
        <x:f>IF(A13="","",IF(ISNUMBER('Risk Register'!U13),IF('Risk Register'!U13&gt;0,'Risk Register'!U13,""),""))</x:f>
        <x:v>46332</x:v>
      </x:c>
      <x:c r="H13" s="14" t="n">
        <x:f>IF(A13="","",IF(OR(F13="Closed",F13="Accepted"),"",IF(ISNUMBER('Risk Register'!U13),IF('Risk Register'!U13&gt;0,'Risk Register'!U13-TODAY(),""),"")))</x:f>
        <x:v>52</x:v>
      </x:c>
      <x:c r="I13" s="14" t="str">
        <x:f>IF(A13="","",'Risk Register'!R13)</x:f>
        <x:v>Use software composition analysis and define dependency-update requirements.</x:v>
      </x:c>
      <x:c r="J13" s="14" t="str">
        <x:f>IF(A13="","",'Risk Register'!X13)</x:f>
        <x:v>Integrate checks into CI/CD.</x:v>
      </x:c>
      <x:c r="K13" s="96" t="str">
        <x:f>IF(A13="","",IF('Risk Register'!Y13="","",'Risk Register'!Y13))</x:f>
      </x:c>
      <x:c r="L13" s="96" t="str">
        <x:f>IF(A13="","",IF('Risk Register'!Z13="","",'Risk Register'!Z13))</x:f>
        <x:v>Scenario only</x:v>
      </x:c>
      <x:c r="M13" s="96" t="str">
        <x:f>IF(A13="","",IF('Risk Register'!AA13="","",'Risk Register'!AA13))</x:f>
      </x:c>
      <x:c r="N13" s="98" t="str">
        <x:f>IF(A13="","",IF('Risk Register'!AB13="","",'Risk Register'!AB13))</x:f>
      </x:c>
      <x:c r="O13" s="96" t="str">
        <x:f>IF(A13="","",IF('Risk Register'!AC13="","",'Risk Register'!AC13))</x:f>
      </x:c>
      <x:c r="P13" s="96" t="str">
        <x:f>IF(A13="","",'Risk Register'!AD13)</x:f>
        <x:v>OK</x:v>
      </x:c>
      <x:c r="Q13" s="96" t="str">
        <x:f>IF(A13="","",'Risk Register'!AE13)</x:f>
        <x:v>Add assessment support</x:v>
      </x:c>
    </x:row>
    <x:row r="14" ht="100" customHeight="1">
      <x:c r="A14" s="14" t="str">
        <x:f>IF('Risk Register'!A14="","",'Risk Register'!A14)</x:f>
        <x:v>R-010</x:v>
      </x:c>
      <x:c r="B14" s="14" t="str">
        <x:f>IF(A14="","",'Risk Register'!D14)</x:f>
        <x:v>An internal user with excessive database access could view or modify restricted customer information.</x:v>
      </x:c>
      <x:c r="C14" s="14" t="str">
        <x:f>IF(A14="","",'Risk Register'!P14)</x:f>
        <x:v>Medium</x:v>
      </x:c>
      <x:c r="D14" s="14" t="str">
        <x:f>IF(A14="","",'Risk Register'!Q14)</x:f>
        <x:v>Mitigate</x:v>
      </x:c>
      <x:c r="E14" s="14" t="str">
        <x:f>IF(A14="","",'Risk Register'!S14)</x:f>
        <x:v>Data Owner</x:v>
      </x:c>
      <x:c r="F14" s="14" t="str">
        <x:f>IF(A14="","",'Risk Register'!T14)</x:f>
        <x:v>In Progress</x:v>
      </x:c>
      <x:c r="G14" s="83" t="n">
        <x:f>IF(A14="","",IF(ISNUMBER('Risk Register'!U14),IF('Risk Register'!U14&gt;0,'Risk Register'!U14,""),""))</x:f>
        <x:v>46317</x:v>
      </x:c>
      <x:c r="H14" s="14" t="n">
        <x:f>IF(A14="","",IF(OR(F14="Closed",F14="Accepted"),"",IF(ISNUMBER('Risk Register'!U14),IF('Risk Register'!U14&gt;0,'Risk Register'!U14-TODAY(),""),"")))</x:f>
        <x:v>37</x:v>
      </x:c>
      <x:c r="I14" s="14" t="str">
        <x:f>IF(A14="","",'Risk Register'!R14)</x:f>
        <x:v>Create least-privilege roles and conduct quarterly database access reviews.</x:v>
      </x:c>
      <x:c r="J14" s="14" t="str">
        <x:f>IF(A14="","",'Risk Register'!X14)</x:f>
        <x:v>Separate admin and analyst access.</x:v>
      </x:c>
      <x:c r="K14" s="96" t="str">
        <x:f>IF(A14="","",IF('Risk Register'!Y14="","",'Risk Register'!Y14))</x:f>
      </x:c>
      <x:c r="L14" s="96" t="str">
        <x:f>IF(A14="","",IF('Risk Register'!Z14="","",'Risk Register'!Z14))</x:f>
        <x:v>Scenario only</x:v>
      </x:c>
      <x:c r="M14" s="96" t="str">
        <x:f>IF(A14="","",IF('Risk Register'!AA14="","",'Risk Register'!AA14))</x:f>
      </x:c>
      <x:c r="N14" s="98" t="str">
        <x:f>IF(A14="","",IF('Risk Register'!AB14="","",'Risk Register'!AB14))</x:f>
      </x:c>
      <x:c r="O14" s="96" t="str">
        <x:f>IF(A14="","",IF('Risk Register'!AC14="","",'Risk Register'!AC14))</x:f>
      </x:c>
      <x:c r="P14" s="96" t="str">
        <x:f>IF(A14="","",'Risk Register'!AD14)</x:f>
        <x:v>OK</x:v>
      </x:c>
      <x:c r="Q14" s="96" t="str">
        <x:f>IF(A14="","",'Risk Register'!AE14)</x:f>
        <x:v>Add assessment support</x:v>
      </x:c>
    </x:row>
    <x:row r="15" ht="100" customHeight="1">
      <x:c r="A15" s="14" t="str">
        <x:f>IF('Risk Register'!A15="","",'Risk Register'!A15)</x:f>
        <x:v>R-011</x:v>
      </x:c>
      <x:c r="B15" s="14" t="str">
        <x:f>IF(A15="","",'Risk Register'!D15)</x:f>
        <x:v>Employees could unintentionally share confidential files outside the company.</x:v>
      </x:c>
      <x:c r="C15" s="14" t="str">
        <x:f>IF(A15="","",'Risk Register'!P15)</x:f>
        <x:v>Medium</x:v>
      </x:c>
      <x:c r="D15" s="14" t="str">
        <x:f>IF(A15="","",'Risk Register'!Q15)</x:f>
        <x:v>Mitigate</x:v>
      </x:c>
      <x:c r="E15" s="14" t="str">
        <x:f>IF(A15="","",'Risk Register'!S15)</x:f>
        <x:v>Data Owner</x:v>
      </x:c>
      <x:c r="F15" s="14" t="str">
        <x:f>IF(A15="","",'Risk Register'!T15)</x:f>
        <x:v>Planned</x:v>
      </x:c>
      <x:c r="G15" s="83" t="n">
        <x:f>IF(A15="","",IF(ISNUMBER('Risk Register'!U15),IF('Risk Register'!U15&gt;0,'Risk Register'!U15,""),""))</x:f>
        <x:v>46317</x:v>
      </x:c>
      <x:c r="H15" s="14" t="n">
        <x:f>IF(A15="","",IF(OR(F15="Closed",F15="Accepted"),"",IF(ISNUMBER('Risk Register'!U15),IF('Risk Register'!U15&gt;0,'Risk Register'!U15-TODAY(),""),"")))</x:f>
        <x:v>37</x:v>
      </x:c>
      <x:c r="I15" s="14" t="str">
        <x:f>IF(A15="","",'Risk Register'!R15)</x:f>
        <x:v>Restrict anonymous links and implement sensitivity labels or DLP for sensitive data.</x:v>
      </x:c>
      <x:c r="J15" s="14" t="str">
        <x:f>IF(A15="","",'Risk Register'!X15)</x:f>
        <x:v>Validate with sample sharing tests.</x:v>
      </x:c>
      <x:c r="K15" s="96" t="str">
        <x:f>IF(A15="","",IF('Risk Register'!Y15="","",'Risk Register'!Y15))</x:f>
      </x:c>
      <x:c r="L15" s="96" t="str">
        <x:f>IF(A15="","",IF('Risk Register'!Z15="","",'Risk Register'!Z15))</x:f>
        <x:v>Scenario only</x:v>
      </x:c>
      <x:c r="M15" s="96" t="str">
        <x:f>IF(A15="","",IF('Risk Register'!AA15="","",'Risk Register'!AA15))</x:f>
      </x:c>
      <x:c r="N15" s="98" t="str">
        <x:f>IF(A15="","",IF('Risk Register'!AB15="","",'Risk Register'!AB15))</x:f>
      </x:c>
      <x:c r="O15" s="96" t="str">
        <x:f>IF(A15="","",IF('Risk Register'!AC15="","",'Risk Register'!AC15))</x:f>
      </x:c>
      <x:c r="P15" s="96" t="str">
        <x:f>IF(A15="","",'Risk Register'!AD15)</x:f>
        <x:v>OK</x:v>
      </x:c>
      <x:c r="Q15" s="96" t="str">
        <x:f>IF(A15="","",'Risk Register'!AE15)</x:f>
        <x:v>Add assessment support</x:v>
      </x:c>
    </x:row>
    <x:row r="16" ht="100" customHeight="1">
      <x:c r="A16" s="14" t="str">
        <x:f>IF('Risk Register'!A16="","",'Risk Register'!A16)</x:f>
        <x:v>R-012</x:v>
      </x:c>
      <x:c r="B16" s="14" t="str">
        <x:f>IF(A16="","",'Risk Register'!D16)</x:f>
        <x:v>A security incident at a key vendor could expose company data or interrupt a critical service.</x:v>
      </x:c>
      <x:c r="C16" s="14" t="str">
        <x:f>IF(A16="","",'Risk Register'!P16)</x:f>
        <x:v>High</x:v>
      </x:c>
      <x:c r="D16" s="14" t="str">
        <x:f>IF(A16="","",'Risk Register'!Q16)</x:f>
        <x:v>Mitigate</x:v>
      </x:c>
      <x:c r="E16" s="14" t="str">
        <x:f>IF(A16="","",'Risk Register'!S16)</x:f>
        <x:v>Vendor Manager</x:v>
      </x:c>
      <x:c r="F16" s="14" t="str">
        <x:f>IF(A16="","",'Risk Register'!T16)</x:f>
        <x:v>Open</x:v>
      </x:c>
      <x:c r="G16" s="83" t="n">
        <x:f>IF(A16="","",IF(ISNUMBER('Risk Register'!U16),IF('Risk Register'!U16&gt;0,'Risk Register'!U16,""),""))</x:f>
        <x:v>46302</x:v>
      </x:c>
      <x:c r="H16" s="14" t="n">
        <x:f>IF(A16="","",IF(OR(F16="Closed",F16="Accepted"),"",IF(ISNUMBER('Risk Register'!U16),IF('Risk Register'!U16&gt;0,'Risk Register'!U16-TODAY(),""),"")))</x:f>
        <x:v>22</x:v>
      </x:c>
      <x:c r="I16" s="14" t="str">
        <x:f>IF(A16="","",'Risk Register'!R16)</x:f>
        <x:v>Tier vendors, perform security reviews, and add security/notification clauses to contracts.</x:v>
      </x:c>
      <x:c r="J16" s="14" t="str">
        <x:f>IF(A16="","",'Risk Register'!X16)</x:f>
        <x:v>Begin with vendors that handle restricted data or production access.</x:v>
      </x:c>
      <x:c r="K16" s="96" t="str">
        <x:f>IF(A16="","",IF('Risk Register'!Y16="","",'Risk Register'!Y16))</x:f>
      </x:c>
      <x:c r="L16" s="96" t="str">
        <x:f>IF(A16="","",IF('Risk Register'!Z16="","",'Risk Register'!Z16))</x:f>
        <x:v>Scenario only</x:v>
      </x:c>
      <x:c r="M16" s="96" t="str">
        <x:f>IF(A16="","",IF('Risk Register'!AA16="","",'Risk Register'!AA16))</x:f>
      </x:c>
      <x:c r="N16" s="98" t="str">
        <x:f>IF(A16="","",IF('Risk Register'!AB16="","",'Risk Register'!AB16))</x:f>
      </x:c>
      <x:c r="O16" s="96" t="str">
        <x:f>IF(A16="","",IF('Risk Register'!AC16="","",'Risk Register'!AC16))</x:f>
      </x:c>
      <x:c r="P16" s="96" t="str">
        <x:f>IF(A16="","",'Risk Register'!AD16)</x:f>
        <x:v>OK</x:v>
      </x:c>
      <x:c r="Q16" s="96" t="str">
        <x:f>IF(A16="","",'Risk Register'!AE16)</x:f>
        <x:v>Add assessment support</x:v>
      </x:c>
    </x:row>
    <x:row r="17" ht="100" customHeight="1">
      <x:c r="A17" s="14" t="str">
        <x:f>IF('Risk Register'!A17="","",'Risk Register'!A17)</x:f>
        <x:v>R-013</x:v>
      </x:c>
      <x:c r="B17" s="14" t="str">
        <x:f>IF(A17="","",'Risk Register'!D17)</x:f>
        <x:v>Unapproved SaaS services could process company data without security review.</x:v>
      </x:c>
      <x:c r="C17" s="14" t="str">
        <x:f>IF(A17="","",'Risk Register'!P17)</x:f>
        <x:v>Medium</x:v>
      </x:c>
      <x:c r="D17" s="14" t="str">
        <x:f>IF(A17="","",'Risk Register'!Q17)</x:f>
        <x:v>Mitigate</x:v>
      </x:c>
      <x:c r="E17" s="14" t="str">
        <x:f>IF(A17="","",'Risk Register'!S17)</x:f>
        <x:v>Vendor Manager</x:v>
      </x:c>
      <x:c r="F17" s="14" t="str">
        <x:f>IF(A17="","",'Risk Register'!T17)</x:f>
        <x:v>Planned</x:v>
      </x:c>
      <x:c r="G17" s="83" t="n">
        <x:f>IF(A17="","",IF(ISNUMBER('Risk Register'!U17),IF('Risk Register'!U17&gt;0,'Risk Register'!U17,""),""))</x:f>
        <x:v>46332</x:v>
      </x:c>
      <x:c r="H17" s="14" t="n">
        <x:f>IF(A17="","",IF(OR(F17="Closed",F17="Accepted"),"",IF(ISNUMBER('Risk Register'!U17),IF('Risk Register'!U17&gt;0,'Risk Register'!U17-TODAY(),""),"")))</x:f>
        <x:v>52</x:v>
      </x:c>
      <x:c r="I17" s="14" t="str">
        <x:f>IF(A17="","",'Risk Register'!R17)</x:f>
        <x:v>Create a vendor/SaaS inventory and approval process.</x:v>
      </x:c>
      <x:c r="J17" s="14" t="str">
        <x:f>IF(A17="","",'Risk Register'!X17)</x:f>
        <x:v>Reconcile procurement and expense records.</x:v>
      </x:c>
      <x:c r="K17" s="96" t="str">
        <x:f>IF(A17="","",IF('Risk Register'!Y17="","",'Risk Register'!Y17))</x:f>
      </x:c>
      <x:c r="L17" s="96" t="str">
        <x:f>IF(A17="","",IF('Risk Register'!Z17="","",'Risk Register'!Z17))</x:f>
        <x:v>Scenario only</x:v>
      </x:c>
      <x:c r="M17" s="96" t="str">
        <x:f>IF(A17="","",IF('Risk Register'!AA17="","",'Risk Register'!AA17))</x:f>
      </x:c>
      <x:c r="N17" s="98" t="str">
        <x:f>IF(A17="","",IF('Risk Register'!AB17="","",'Risk Register'!AB17))</x:f>
      </x:c>
      <x:c r="O17" s="96" t="str">
        <x:f>IF(A17="","",IF('Risk Register'!AC17="","",'Risk Register'!AC17))</x:f>
      </x:c>
      <x:c r="P17" s="96" t="str">
        <x:f>IF(A17="","",'Risk Register'!AD17)</x:f>
        <x:v>OK</x:v>
      </x:c>
      <x:c r="Q17" s="96" t="str">
        <x:f>IF(A17="","",'Risk Register'!AE17)</x:f>
        <x:v>Add assessment support</x:v>
      </x:c>
    </x:row>
    <x:row r="18" ht="100" customHeight="1">
      <x:c r="A18" s="14" t="str">
        <x:f>IF('Risk Register'!A18="","",'Risk Register'!A18)</x:f>
        <x:v>R-014</x:v>
      </x:c>
      <x:c r="B18" s="14" t="str">
        <x:f>IF(A18="","",'Risk Register'!D18)</x:f>
        <x:v>A compromise could remain undetected because security logs are fragmented across systems.</x:v>
      </x:c>
      <x:c r="C18" s="14" t="str">
        <x:f>IF(A18="","",'Risk Register'!P18)</x:f>
        <x:v>High</x:v>
      </x:c>
      <x:c r="D18" s="14" t="str">
        <x:f>IF(A18="","",'Risk Register'!Q18)</x:f>
        <x:v>Mitigate</x:v>
      </x:c>
      <x:c r="E18" s="14" t="str">
        <x:f>IF(A18="","",'Risk Register'!S18)</x:f>
        <x:v>Security Manager</x:v>
      </x:c>
      <x:c r="F18" s="14" t="str">
        <x:f>IF(A18="","",'Risk Register'!T18)</x:f>
        <x:v>Open</x:v>
      </x:c>
      <x:c r="G18" s="83" t="n">
        <x:f>IF(A18="","",IF(ISNUMBER('Risk Register'!U18),IF('Risk Register'!U18&gt;0,'Risk Register'!U18,""),""))</x:f>
        <x:v>46302</x:v>
      </x:c>
      <x:c r="H18" s="14" t="n">
        <x:f>IF(A18="","",IF(OR(F18="Closed",F18="Accepted"),"",IF(ISNUMBER('Risk Register'!U18),IF('Risk Register'!U18&gt;0,'Risk Register'!U18-TODAY(),""),"")))</x:f>
        <x:v>22</x:v>
      </x:c>
      <x:c r="I18" s="14" t="str">
        <x:f>IF(A18="","",'Risk Register'!R18)</x:f>
        <x:v>Centralize priority log sources and define minimum retention and alerting requirements.</x:v>
      </x:c>
      <x:c r="J18" s="14" t="str">
        <x:f>IF(A18="","",'Risk Register'!X18)</x:f>
        <x:v>Start with identity, endpoint, firewall, and cloud administration logs.</x:v>
      </x:c>
      <x:c r="K18" s="96" t="str">
        <x:f>IF(A18="","",IF('Risk Register'!Y18="","",'Risk Register'!Y18))</x:f>
      </x:c>
      <x:c r="L18" s="96" t="str">
        <x:f>IF(A18="","",IF('Risk Register'!Z18="","",'Risk Register'!Z18))</x:f>
        <x:v>Scenario only</x:v>
      </x:c>
      <x:c r="M18" s="96" t="str">
        <x:f>IF(A18="","",IF('Risk Register'!AA18="","",'Risk Register'!AA18))</x:f>
      </x:c>
      <x:c r="N18" s="98" t="str">
        <x:f>IF(A18="","",IF('Risk Register'!AB18="","",'Risk Register'!AB18))</x:f>
      </x:c>
      <x:c r="O18" s="96" t="str">
        <x:f>IF(A18="","",IF('Risk Register'!AC18="","",'Risk Register'!AC18))</x:f>
      </x:c>
      <x:c r="P18" s="96" t="str">
        <x:f>IF(A18="","",'Risk Register'!AD18)</x:f>
        <x:v>OK</x:v>
      </x:c>
      <x:c r="Q18" s="96" t="str">
        <x:f>IF(A18="","",'Risk Register'!AE18)</x:f>
        <x:v>Add assessment support</x:v>
      </x:c>
    </x:row>
    <x:row r="19" ht="100" customHeight="1">
      <x:c r="A19" s="14" t="str">
        <x:f>IF('Risk Register'!A19="","",'Risk Register'!A19)</x:f>
        <x:v>R-015</x:v>
      </x:c>
      <x:c r="B19" s="14" t="str">
        <x:f>IF(A19="","",'Risk Register'!D19)</x:f>
        <x:v>A major cyber incident could be handled inconsistently because roles, escalation criteria, and communications are not fully documented.</x:v>
      </x:c>
      <x:c r="C19" s="14" t="str">
        <x:f>IF(A19="","",'Risk Register'!P19)</x:f>
        <x:v>High</x:v>
      </x:c>
      <x:c r="D19" s="14" t="str">
        <x:f>IF(A19="","",'Risk Register'!Q19)</x:f>
        <x:v>Mitigate</x:v>
      </x:c>
      <x:c r="E19" s="14" t="str">
        <x:f>IF(A19="","",'Risk Register'!S19)</x:f>
        <x:v>Security Manager</x:v>
      </x:c>
      <x:c r="F19" s="14" t="str">
        <x:f>IF(A19="","",'Risk Register'!T19)</x:f>
        <x:v>Open</x:v>
      </x:c>
      <x:c r="G19" s="83" t="n">
        <x:f>IF(A19="","",IF(ISNUMBER('Risk Register'!U19),IF('Risk Register'!U19&gt;0,'Risk Register'!U19,""),""))</x:f>
        <x:v>46317</x:v>
      </x:c>
      <x:c r="H19" s="14" t="n">
        <x:f>IF(A19="","",IF(OR(F19="Closed",F19="Accepted"),"",IF(ISNUMBER('Risk Register'!U19),IF('Risk Register'!U19&gt;0,'Risk Register'!U19-TODAY(),""),"")))</x:f>
        <x:v>37</x:v>
      </x:c>
      <x:c r="I19" s="14" t="str">
        <x:f>IF(A19="","",'Risk Register'!R19)</x:f>
        <x:v>Create an incident response plan and conduct a tabletop exercise.</x:v>
      </x:c>
      <x:c r="J19" s="14" t="str">
        <x:f>IF(A19="","",'Risk Register'!X19)</x:f>
        <x:v>Suggested exercise: ransomware or privileged-account compromise.</x:v>
      </x:c>
      <x:c r="K19" s="96" t="str">
        <x:f>IF(A19="","",IF('Risk Register'!Y19="","",'Risk Register'!Y19))</x:f>
      </x:c>
      <x:c r="L19" s="96" t="str">
        <x:f>IF(A19="","",IF('Risk Register'!Z19="","",'Risk Register'!Z19))</x:f>
        <x:v>Scenario only</x:v>
      </x:c>
      <x:c r="M19" s="96" t="str">
        <x:f>IF(A19="","",IF('Risk Register'!AA19="","",'Risk Register'!AA19))</x:f>
      </x:c>
      <x:c r="N19" s="98" t="str">
        <x:f>IF(A19="","",IF('Risk Register'!AB19="","",'Risk Register'!AB19))</x:f>
      </x:c>
      <x:c r="O19" s="96" t="str">
        <x:f>IF(A19="","",IF('Risk Register'!AC19="","",'Risk Register'!AC19))</x:f>
      </x:c>
      <x:c r="P19" s="96" t="str">
        <x:f>IF(A19="","",'Risk Register'!AD19)</x:f>
        <x:v>OK</x:v>
      </x:c>
      <x:c r="Q19" s="96" t="str">
        <x:f>IF(A19="","",'Risk Register'!AE19)</x:f>
        <x:v>Add assessment support</x:v>
      </x:c>
    </x:row>
    <x:row r="20" ht="100" customHeight="1">
      <x:c r="A20" s="14" t="str">
        <x:f>IF('Risk Register'!A20="","",'Risk Register'!A20)</x:f>
        <x:v>R-016</x:v>
      </x:c>
      <x:c r="B20" s="14" t="str">
        <x:f>IF(A20="","",'Risk Register'!D20)</x:f>
        <x:v>Ransomware could affect production data and reachable backups, limiting the company’s ability to recover.</x:v>
      </x:c>
      <x:c r="C20" s="14" t="str">
        <x:f>IF(A20="","",'Risk Register'!P20)</x:f>
        <x:v>High</x:v>
      </x:c>
      <x:c r="D20" s="14" t="str">
        <x:f>IF(A20="","",'Risk Register'!Q20)</x:f>
        <x:v>Mitigate</x:v>
      </x:c>
      <x:c r="E20" s="14" t="str">
        <x:f>IF(A20="","",'Risk Register'!S20)</x:f>
        <x:v>Operations Manager</x:v>
      </x:c>
      <x:c r="F20" s="14" t="str">
        <x:f>IF(A20="","",'Risk Register'!T20)</x:f>
        <x:v>In Progress</x:v>
      </x:c>
      <x:c r="G20" s="83" t="n">
        <x:f>IF(A20="","",IF(ISNUMBER('Risk Register'!U20),IF('Risk Register'!U20&gt;0,'Risk Register'!U20,""),""))</x:f>
        <x:v>46302</x:v>
      </x:c>
      <x:c r="H20" s="14" t="n">
        <x:f>IF(A20="","",IF(OR(F20="Closed",F20="Accepted"),"",IF(ISNUMBER('Risk Register'!U20),IF('Risk Register'!U20&gt;0,'Risk Register'!U20-TODAY(),""),"")))</x:f>
        <x:v>22</x:v>
      </x:c>
      <x:c r="I20" s="14" t="str">
        <x:f>IF(A20="","",'Risk Register'!R20)</x:f>
        <x:v>Maintain immutable/offline copies and test restoration on a recurring schedule.</x:v>
      </x:c>
      <x:c r="J20" s="14" t="str">
        <x:f>IF(A20="","",'Risk Register'!X20)</x:f>
        <x:v>Evidence should include restore-test results.</x:v>
      </x:c>
      <x:c r="K20" s="96" t="str">
        <x:f>IF(A20="","",IF('Risk Register'!Y20="","",'Risk Register'!Y20))</x:f>
      </x:c>
      <x:c r="L20" s="96" t="str">
        <x:f>IF(A20="","",IF('Risk Register'!Z20="","",'Risk Register'!Z20))</x:f>
        <x:v>Scenario only</x:v>
      </x:c>
      <x:c r="M20" s="96" t="str">
        <x:f>IF(A20="","",IF('Risk Register'!AA20="","",'Risk Register'!AA20))</x:f>
      </x:c>
      <x:c r="N20" s="98" t="str">
        <x:f>IF(A20="","",IF('Risk Register'!AB20="","",'Risk Register'!AB20))</x:f>
      </x:c>
      <x:c r="O20" s="96" t="str">
        <x:f>IF(A20="","",IF('Risk Register'!AC20="","",'Risk Register'!AC20))</x:f>
      </x:c>
      <x:c r="P20" s="96" t="str">
        <x:f>IF(A20="","",'Risk Register'!AD20)</x:f>
        <x:v>OK</x:v>
      </x:c>
      <x:c r="Q20" s="96" t="str">
        <x:f>IF(A20="","",'Risk Register'!AE20)</x:f>
        <x:v>Add assessment support</x:v>
      </x:c>
    </x:row>
    <x:row r="21" ht="100" customHeight="1">
      <x:c r="A21" s="14" t="str">
        <x:f>IF('Risk Register'!A21="","",'Risk Register'!A21)</x:f>
        <x:v>R-017</x:v>
      </x:c>
      <x:c r="B21" s="14" t="str">
        <x:f>IF(A21="","",'Risk Register'!D21)</x:f>
        <x:v>A cloud outage could make the customer service unavailable longer than expected.</x:v>
      </x:c>
      <x:c r="C21" s="14" t="str">
        <x:f>IF(A21="","",'Risk Register'!P21)</x:f>
        <x:v>Medium</x:v>
      </x:c>
      <x:c r="D21" s="14" t="str">
        <x:f>IF(A21="","",'Risk Register'!Q21)</x:f>
        <x:v>Mitigate</x:v>
      </x:c>
      <x:c r="E21" s="14" t="str">
        <x:f>IF(A21="","",'Risk Register'!S21)</x:f>
        <x:v>Operations Manager</x:v>
      </x:c>
      <x:c r="F21" s="14" t="str">
        <x:f>IF(A21="","",'Risk Register'!T21)</x:f>
        <x:v>Planned</x:v>
      </x:c>
      <x:c r="G21" s="83" t="n">
        <x:f>IF(A21="","",IF(ISNUMBER('Risk Register'!U21),IF('Risk Register'!U21&gt;0,'Risk Register'!U21,""),""))</x:f>
        <x:v>46362</x:v>
      </x:c>
      <x:c r="H21" s="14" t="n">
        <x:f>IF(A21="","",IF(OR(F21="Closed",F21="Accepted"),"",IF(ISNUMBER('Risk Register'!U21),IF('Risk Register'!U21&gt;0,'Risk Register'!U21-TODAY(),""),"")))</x:f>
        <x:v>82</x:v>
      </x:c>
      <x:c r="I21" s="14" t="str">
        <x:f>IF(A21="","",'Risk Register'!R21)</x:f>
        <x:v>Define business-approved RTO/RPO and test restoration/failover procedures.</x:v>
      </x:c>
      <x:c r="J21" s="14" t="str">
        <x:f>IF(A21="","",'Risk Register'!X21)</x:f>
        <x:v>Document critical dependencies.</x:v>
      </x:c>
      <x:c r="K21" s="96" t="str">
        <x:f>IF(A21="","",IF('Risk Register'!Y21="","",'Risk Register'!Y21))</x:f>
      </x:c>
      <x:c r="L21" s="96" t="str">
        <x:f>IF(A21="","",IF('Risk Register'!Z21="","",'Risk Register'!Z21))</x:f>
        <x:v>Scenario only</x:v>
      </x:c>
      <x:c r="M21" s="96" t="str">
        <x:f>IF(A21="","",IF('Risk Register'!AA21="","",'Risk Register'!AA21))</x:f>
      </x:c>
      <x:c r="N21" s="98" t="str">
        <x:f>IF(A21="","",IF('Risk Register'!AB21="","",'Risk Register'!AB21))</x:f>
      </x:c>
      <x:c r="O21" s="96" t="str">
        <x:f>IF(A21="","",IF('Risk Register'!AC21="","",'Risk Register'!AC21))</x:f>
      </x:c>
      <x:c r="P21" s="96" t="str">
        <x:f>IF(A21="","",'Risk Register'!AD21)</x:f>
        <x:v>OK</x:v>
      </x:c>
      <x:c r="Q21" s="96" t="str">
        <x:f>IF(A21="","",'Risk Register'!AE21)</x:f>
        <x:v>Add assessment support</x:v>
      </x:c>
    </x:row>
    <x:row r="22" ht="100" customHeight="1">
      <x:c r="A22" s="14" t="str">
        <x:f>IF('Risk Register'!A22="","",'Risk Register'!A22)</x:f>
        <x:v>R-018</x:v>
      </x:c>
      <x:c r="B22" s="14" t="str">
        <x:f>IF(A22="","",'Risk Register'!D22)</x:f>
        <x:v>A phishing message could capture employee credentials and lead to account compromise.</x:v>
      </x:c>
      <x:c r="C22" s="14" t="str">
        <x:f>IF(A22="","",'Risk Register'!P22)</x:f>
        <x:v>High</x:v>
      </x:c>
      <x:c r="D22" s="14" t="str">
        <x:f>IF(A22="","",'Risk Register'!Q22)</x:f>
        <x:v>Mitigate</x:v>
      </x:c>
      <x:c r="E22" s="14" t="str">
        <x:f>IF(A22="","",'Risk Register'!S22)</x:f>
        <x:v>HR Manager</x:v>
      </x:c>
      <x:c r="F22" s="14" t="str">
        <x:f>IF(A22="","",'Risk Register'!T22)</x:f>
        <x:v>Planned</x:v>
      </x:c>
      <x:c r="G22" s="83" t="n">
        <x:f>IF(A22="","",IF(ISNUMBER('Risk Register'!U22),IF('Risk Register'!U22&gt;0,'Risk Register'!U22,""),""))</x:f>
        <x:v>46332</x:v>
      </x:c>
      <x:c r="H22" s="14" t="n">
        <x:f>IF(A22="","",IF(OR(F22="Closed",F22="Accepted"),"",IF(ISNUMBER('Risk Register'!U22),IF('Risk Register'!U22&gt;0,'Risk Register'!U22-TODAY(),""),"")))</x:f>
        <x:v>52</x:v>
      </x:c>
      <x:c r="I22" s="14" t="str">
        <x:f>IF(A22="","",'Risk Register'!R22)</x:f>
        <x:v>Run periodic phishing exercises and targeted role-based awareness training.</x:v>
      </x:c>
      <x:c r="J22" s="14" t="str">
        <x:f>IF(A22="","",'Risk Register'!X22)</x:f>
        <x:v>Measure reporting behavior as well as clicks.</x:v>
      </x:c>
      <x:c r="K22" s="96" t="str">
        <x:f>IF(A22="","",IF('Risk Register'!Y22="","",'Risk Register'!Y22))</x:f>
      </x:c>
      <x:c r="L22" s="96" t="str">
        <x:f>IF(A22="","",IF('Risk Register'!Z22="","",'Risk Register'!Z22))</x:f>
        <x:v>Scenario only</x:v>
      </x:c>
      <x:c r="M22" s="96" t="str">
        <x:f>IF(A22="","",IF('Risk Register'!AA22="","",'Risk Register'!AA22))</x:f>
      </x:c>
      <x:c r="N22" s="98" t="str">
        <x:f>IF(A22="","",IF('Risk Register'!AB22="","",'Risk Register'!AB22))</x:f>
      </x:c>
      <x:c r="O22" s="96" t="str">
        <x:f>IF(A22="","",IF('Risk Register'!AC22="","",'Risk Register'!AC22))</x:f>
      </x:c>
      <x:c r="P22" s="96" t="str">
        <x:f>IF(A22="","",'Risk Register'!AD22)</x:f>
        <x:v>OK</x:v>
      </x:c>
      <x:c r="Q22" s="96" t="str">
        <x:f>IF(A22="","",'Risk Register'!AE22)</x:f>
        <x:v>Add assessment support</x:v>
      </x:c>
    </x:row>
    <x:row r="23" ht="100" customHeight="1">
      <x:c r="A23" s="14" t="str">
        <x:f>IF('Risk Register'!A23="","",'Risk Register'!A23)</x:f>
        <x:v>R-019</x:v>
      </x:c>
      <x:c r="B23" s="14" t="str">
        <x:f>IF(A23="","",'Risk Register'!D23)</x:f>
        <x:v>An attacker who compromises one endpoint could move laterally toward higher-value systems.</x:v>
      </x:c>
      <x:c r="C23" s="14" t="str">
        <x:f>IF(A23="","",'Risk Register'!P23)</x:f>
        <x:v>High</x:v>
      </x:c>
      <x:c r="D23" s="14" t="str">
        <x:f>IF(A23="","",'Risk Register'!Q23)</x:f>
        <x:v>Mitigate</x:v>
      </x:c>
      <x:c r="E23" s="14" t="str">
        <x:f>IF(A23="","",'Risk Register'!S23)</x:f>
        <x:v>IT Manager</x:v>
      </x:c>
      <x:c r="F23" s="14" t="str">
        <x:f>IF(A23="","",'Risk Register'!T23)</x:f>
        <x:v>Planned</x:v>
      </x:c>
      <x:c r="G23" s="83" t="n">
        <x:f>IF(A23="","",IF(ISNUMBER('Risk Register'!U23),IF('Risk Register'!U23&gt;0,'Risk Register'!U23,""),""))</x:f>
        <x:v>46362</x:v>
      </x:c>
      <x:c r="H23" s="14" t="n">
        <x:f>IF(A23="","",IF(OR(F23="Closed",F23="Accepted"),"",IF(ISNUMBER('Risk Register'!U23),IF('Risk Register'!U23&gt;0,'Risk Register'!U23-TODAY(),""),"")))</x:f>
        <x:v>82</x:v>
      </x:c>
      <x:c r="I23" s="14" t="str">
        <x:f>IF(A23="","",'Risk Register'!R23)</x:f>
        <x:v>Segment user, server, administrative, and security networks.</x:v>
      </x:c>
      <x:c r="J23" s="14" t="str">
        <x:f>IF(A23="","",'Risk Register'!X23)</x:f>
        <x:v>Prioritize critical systems.</x:v>
      </x:c>
      <x:c r="K23" s="96" t="str">
        <x:f>IF(A23="","",IF('Risk Register'!Y23="","",'Risk Register'!Y23))</x:f>
      </x:c>
      <x:c r="L23" s="96" t="str">
        <x:f>IF(A23="","",IF('Risk Register'!Z23="","",'Risk Register'!Z23))</x:f>
        <x:v>Scenario only</x:v>
      </x:c>
      <x:c r="M23" s="96" t="str">
        <x:f>IF(A23="","",IF('Risk Register'!AA23="","",'Risk Register'!AA23))</x:f>
      </x:c>
      <x:c r="N23" s="98" t="str">
        <x:f>IF(A23="","",IF('Risk Register'!AB23="","",'Risk Register'!AB23))</x:f>
      </x:c>
      <x:c r="O23" s="96" t="str">
        <x:f>IF(A23="","",IF('Risk Register'!AC23="","",'Risk Register'!AC23))</x:f>
      </x:c>
      <x:c r="P23" s="96" t="str">
        <x:f>IF(A23="","",'Risk Register'!AD23)</x:f>
        <x:v>OK</x:v>
      </x:c>
      <x:c r="Q23" s="96" t="str">
        <x:f>IF(A23="","",'Risk Register'!AE23)</x:f>
        <x:v>Add assessment support</x:v>
      </x:c>
    </x:row>
    <x:row r="24" ht="100" customHeight="1">
      <x:c r="A24" s="14" t="str">
        <x:f>IF('Risk Register'!A24="","",'Risk Register'!A24)</x:f>
        <x:v>R-020</x:v>
      </x:c>
      <x:c r="B24" s="14" t="str">
        <x:f>IF(A24="","",'Risk Register'!D24)</x:f>
        <x:v>An unmanaged device could connect to the network without being identified quickly.</x:v>
      </x:c>
      <x:c r="C24" s="14" t="str">
        <x:f>IF(A24="","",'Risk Register'!P24)</x:f>
        <x:v>Medium</x:v>
      </x:c>
      <x:c r="D24" s="14" t="str">
        <x:f>IF(A24="","",'Risk Register'!Q24)</x:f>
        <x:v>Mitigate</x:v>
      </x:c>
      <x:c r="E24" s="14" t="str">
        <x:f>IF(A24="","",'Risk Register'!S24)</x:f>
        <x:v>IT Manager</x:v>
      </x:c>
      <x:c r="F24" s="14" t="str">
        <x:f>IF(A24="","",'Risk Register'!T24)</x:f>
        <x:v>Open</x:v>
      </x:c>
      <x:c r="G24" s="83" t="n">
        <x:f>IF(A24="","",IF(ISNUMBER('Risk Register'!U24),IF('Risk Register'!U24&gt;0,'Risk Register'!U24,""),""))</x:f>
        <x:v>46332</x:v>
      </x:c>
      <x:c r="H24" s="14" t="n">
        <x:f>IF(A24="","",IF(OR(F24="Closed",F24="Accepted"),"",IF(ISNUMBER('Risk Register'!U24),IF('Risk Register'!U24&gt;0,'Risk Register'!U24-TODAY(),""),"")))</x:f>
        <x:v>52</x:v>
      </x:c>
      <x:c r="I24" s="14" t="str">
        <x:f>IF(A24="","",'Risk Register'!R24)</x:f>
        <x:v>Automate asset discovery and create a process for investigating unknown devices.</x:v>
      </x:c>
      <x:c r="J24" s="14" t="str">
        <x:f>IF(A24="","",'Risk Register'!X24)</x:f>
        <x:v>Use inventory exceptions as a review queue.</x:v>
      </x:c>
      <x:c r="K24" s="96" t="str">
        <x:f>IF(A24="","",IF('Risk Register'!Y24="","",'Risk Register'!Y24))</x:f>
      </x:c>
      <x:c r="L24" s="96" t="str">
        <x:f>IF(A24="","",IF('Risk Register'!Z24="","",'Risk Register'!Z24))</x:f>
        <x:v>Scenario only</x:v>
      </x:c>
      <x:c r="M24" s="96" t="str">
        <x:f>IF(A24="","",IF('Risk Register'!AA24="","",'Risk Register'!AA24))</x:f>
      </x:c>
      <x:c r="N24" s="98" t="str">
        <x:f>IF(A24="","",IF('Risk Register'!AB24="","",'Risk Register'!AB24))</x:f>
      </x:c>
      <x:c r="O24" s="96" t="str">
        <x:f>IF(A24="","",IF('Risk Register'!AC24="","",'Risk Register'!AC24))</x:f>
      </x:c>
      <x:c r="P24" s="96" t="str">
        <x:f>IF(A24="","",'Risk Register'!AD24)</x:f>
        <x:v>OK</x:v>
      </x:c>
      <x:c r="Q24" s="96" t="str">
        <x:f>IF(A24="","",'Risk Register'!AE24)</x:f>
        <x:v>Add assessment support</x:v>
      </x:c>
    </x:row>
    <x:row r="25" ht="100" customHeight="1">
      <x:c r="A25" s="14" t="str">
        <x:f>IF('Risk Register'!A25="","",'Risk Register'!A25)</x:f>
        <x:v>R-021</x:v>
      </x:c>
      <x:c r="B25" s="14" t="str">
        <x:f>IF(A25="","",'Risk Register'!D25)</x:f>
        <x:v>Security practices could become inconsistent because key policies are missing or outdated.</x:v>
      </x:c>
      <x:c r="C25" s="14" t="str">
        <x:f>IF(A25="","",'Risk Register'!P25)</x:f>
        <x:v>Medium</x:v>
      </x:c>
      <x:c r="D25" s="14" t="str">
        <x:f>IF(A25="","",'Risk Register'!Q25)</x:f>
        <x:v>Mitigate</x:v>
      </x:c>
      <x:c r="E25" s="14" t="str">
        <x:f>IF(A25="","",'Risk Register'!S25)</x:f>
        <x:v>Compliance Manager</x:v>
      </x:c>
      <x:c r="F25" s="14" t="str">
        <x:f>IF(A25="","",'Risk Register'!T25)</x:f>
        <x:v>Open</x:v>
      </x:c>
      <x:c r="G25" s="83" t="n">
        <x:f>IF(A25="","",IF(ISNUMBER('Risk Register'!U25),IF('Risk Register'!U25&gt;0,'Risk Register'!U25,""),""))</x:f>
        <x:v>46332</x:v>
      </x:c>
      <x:c r="H25" s="14" t="n">
        <x:f>IF(A25="","",IF(OR(F25="Closed",F25="Accepted"),"",IF(ISNUMBER('Risk Register'!U25),IF('Risk Register'!U25&gt;0,'Risk Register'!U25-TODAY(),""),"")))</x:f>
        <x:v>52</x:v>
      </x:c>
      <x:c r="I25" s="14" t="str">
        <x:f>IF(A25="","",'Risk Register'!R25)</x:f>
        <x:v>Publish priority security policies and assign owners/review dates.</x:v>
      </x:c>
      <x:c r="J25" s="14" t="str">
        <x:f>IF(A25="","",'Risk Register'!X25)</x:f>
        <x:v>Prioritize access control, incident response, backup, vendor risk, and exceptions.</x:v>
      </x:c>
      <x:c r="K25" s="96" t="str">
        <x:f>IF(A25="","",IF('Risk Register'!Y25="","",'Risk Register'!Y25))</x:f>
      </x:c>
      <x:c r="L25" s="96" t="str">
        <x:f>IF(A25="","",IF('Risk Register'!Z25="","",'Risk Register'!Z25))</x:f>
        <x:v>Scenario only</x:v>
      </x:c>
      <x:c r="M25" s="96" t="str">
        <x:f>IF(A25="","",IF('Risk Register'!AA25="","",'Risk Register'!AA25))</x:f>
      </x:c>
      <x:c r="N25" s="98" t="str">
        <x:f>IF(A25="","",IF('Risk Register'!AB25="","",'Risk Register'!AB25))</x:f>
      </x:c>
      <x:c r="O25" s="96" t="str">
        <x:f>IF(A25="","",IF('Risk Register'!AC25="","",'Risk Register'!AC25))</x:f>
      </x:c>
      <x:c r="P25" s="96" t="str">
        <x:f>IF(A25="","",'Risk Register'!AD25)</x:f>
        <x:v>OK</x:v>
      </x:c>
      <x:c r="Q25" s="96" t="str">
        <x:f>IF(A25="","",'Risk Register'!AE25)</x:f>
        <x:v>Add assessment support</x:v>
      </x:c>
    </x:row>
    <x:row r="26" ht="100" customHeight="1">
      <x:c r="A26" s="14" t="str">
        <x:f>IF('Risk Register'!A26="","",'Risk Register'!A26)</x:f>
        <x:v>R-022</x:v>
      </x:c>
      <x:c r="B26" s="14" t="str">
        <x:f>IF(A26="","",'Risk Register'!D26)</x:f>
        <x:v>Leadership may not have a consistent view of cyber exposure if risk reviews and reporting are ad hoc.</x:v>
      </x:c>
      <x:c r="C26" s="14" t="str">
        <x:f>IF(A26="","",'Risk Register'!P26)</x:f>
        <x:v>Medium</x:v>
      </x:c>
      <x:c r="D26" s="14" t="str">
        <x:f>IF(A26="","",'Risk Register'!Q26)</x:f>
        <x:v>Mitigate</x:v>
      </x:c>
      <x:c r="E26" s="14" t="str">
        <x:f>IF(A26="","",'Risk Register'!S26)</x:f>
        <x:v>CISO</x:v>
      </x:c>
      <x:c r="F26" s="14" t="str">
        <x:f>IF(A26="","",'Risk Register'!T26)</x:f>
        <x:v>Open</x:v>
      </x:c>
      <x:c r="G26" s="83" t="n">
        <x:f>IF(A26="","",IF(ISNUMBER('Risk Register'!U26),IF('Risk Register'!U26&gt;0,'Risk Register'!U26,""),""))</x:f>
        <x:v>46317</x:v>
      </x:c>
      <x:c r="H26" s="14" t="n">
        <x:f>IF(A26="","",IF(OR(F26="Closed",F26="Accepted"),"",IF(ISNUMBER('Risk Register'!U26),IF('Risk Register'!U26&gt;0,'Risk Register'!U26-TODAY(),""),"")))</x:f>
        <x:v>37</x:v>
      </x:c>
      <x:c r="I26" s="14" t="str">
        <x:f>IF(A26="","",'Risk Register'!R26)</x:f>
        <x:v>Establish quarterly risk reviews and document risk appetite/tolerance.</x:v>
      </x:c>
      <x:c r="J26" s="14" t="str">
        <x:f>IF(A26="","",'Risk Register'!X26)</x:f>
        <x:v>Use the risk register as the recurring review artifact.</x:v>
      </x:c>
      <x:c r="K26" s="96" t="str">
        <x:f>IF(A26="","",IF('Risk Register'!Y26="","",'Risk Register'!Y26))</x:f>
      </x:c>
      <x:c r="L26" s="96" t="str">
        <x:f>IF(A26="","",IF('Risk Register'!Z26="","",'Risk Register'!Z26))</x:f>
        <x:v>Scenario only</x:v>
      </x:c>
      <x:c r="M26" s="96" t="str">
        <x:f>IF(A26="","",IF('Risk Register'!AA26="","",'Risk Register'!AA26))</x:f>
      </x:c>
      <x:c r="N26" s="98" t="str">
        <x:f>IF(A26="","",IF('Risk Register'!AB26="","",'Risk Register'!AB26))</x:f>
      </x:c>
      <x:c r="O26" s="96" t="str">
        <x:f>IF(A26="","",IF('Risk Register'!AC26="","",'Risk Register'!AC26))</x:f>
      </x:c>
      <x:c r="P26" s="96" t="str">
        <x:f>IF(A26="","",'Risk Register'!AD26)</x:f>
        <x:v>OK</x:v>
      </x:c>
      <x:c r="Q26" s="96" t="str">
        <x:f>IF(A26="","",'Risk Register'!AE26)</x:f>
        <x:v>Add assessment support</x:v>
      </x:c>
    </x:row>
    <x:row r="27" ht="100" customHeight="1">
      <x:c r="A27" s="14" t="str">
        <x:f>IF('Risk Register'!A27="","",'Risk Register'!A27)</x:f>
        <x:v>R-023</x:v>
      </x:c>
      <x:c r="B27" s="14" t="str">
        <x:f>IF(A27="","",'Risk Register'!D27)</x:f>
        <x:v>An exposed API key or token in source code could allow unauthorized access to cloud or application resources.</x:v>
      </x:c>
      <x:c r="C27" s="14" t="str">
        <x:f>IF(A27="","",'Risk Register'!P27)</x:f>
        <x:v>High</x:v>
      </x:c>
      <x:c r="D27" s="14" t="str">
        <x:f>IF(A27="","",'Risk Register'!Q27)</x:f>
        <x:v>Mitigate</x:v>
      </x:c>
      <x:c r="E27" s="14" t="str">
        <x:f>IF(A27="","",'Risk Register'!S27)</x:f>
        <x:v>Application Owner</x:v>
      </x:c>
      <x:c r="F27" s="14" t="str">
        <x:f>IF(A27="","",'Risk Register'!T27)</x:f>
        <x:v>In Progress</x:v>
      </x:c>
      <x:c r="G27" s="83" t="n">
        <x:f>IF(A27="","",IF(ISNUMBER('Risk Register'!U27),IF('Risk Register'!U27&gt;0,'Risk Register'!U27,""),""))</x:f>
        <x:v>46293</x:v>
      </x:c>
      <x:c r="H27" s="14" t="n">
        <x:f>IF(A27="","",IF(OR(F27="Closed",F27="Accepted"),"",IF(ISNUMBER('Risk Register'!U27),IF('Risk Register'!U27&gt;0,'Risk Register'!U27-TODAY(),""),"")))</x:f>
        <x:v>13</x:v>
      </x:c>
      <x:c r="I27" s="14" t="str">
        <x:f>IF(A27="","",'Risk Register'!R27)</x:f>
        <x:v>Enable secret scanning, use a secrets manager, and rotate exposed credentials.</x:v>
      </x:c>
      <x:c r="J27" s="14" t="str">
        <x:f>IF(A27="","",'Risk Register'!X27)</x:f>
        <x:v>Treat verified exposed production secrets as urgent.</x:v>
      </x:c>
      <x:c r="K27" s="96" t="str">
        <x:f>IF(A27="","",IF('Risk Register'!Y27="","",'Risk Register'!Y27))</x:f>
      </x:c>
      <x:c r="L27" s="96" t="str">
        <x:f>IF(A27="","",IF('Risk Register'!Z27="","",'Risk Register'!Z27))</x:f>
        <x:v>Scenario only</x:v>
      </x:c>
      <x:c r="M27" s="96" t="str">
        <x:f>IF(A27="","",IF('Risk Register'!AA27="","",'Risk Register'!AA27))</x:f>
      </x:c>
      <x:c r="N27" s="98" t="str">
        <x:f>IF(A27="","",IF('Risk Register'!AB27="","",'Risk Register'!AB27))</x:f>
      </x:c>
      <x:c r="O27" s="96" t="str">
        <x:f>IF(A27="","",IF('Risk Register'!AC27="","",'Risk Register'!AC27))</x:f>
      </x:c>
      <x:c r="P27" s="96" t="str">
        <x:f>IF(A27="","",'Risk Register'!AD27)</x:f>
        <x:v>OK</x:v>
      </x:c>
      <x:c r="Q27" s="96" t="str">
        <x:f>IF(A27="","",'Risk Register'!AE27)</x:f>
        <x:v>Add assessment support</x:v>
      </x:c>
    </x:row>
    <x:row r="28" ht="100" customHeight="1">
      <x:c r="A28" s="14" t="str">
        <x:f>IF('Risk Register'!A28="","",'Risk Register'!A28)</x:f>
        <x:v>R-024</x:v>
      </x:c>
      <x:c r="B28" s="14" t="str">
        <x:f>IF(A28="","",'Risk Register'!D28)</x:f>
        <x:v>Sensitive backup data could be exposed if backup administration is broader than production access.</x:v>
      </x:c>
      <x:c r="C28" s="14" t="str">
        <x:f>IF(A28="","",'Risk Register'!P28)</x:f>
        <x:v>Medium</x:v>
      </x:c>
      <x:c r="D28" s="14" t="str">
        <x:f>IF(A28="","",'Risk Register'!Q28)</x:f>
        <x:v>Mitigate</x:v>
      </x:c>
      <x:c r="E28" s="14" t="str">
        <x:f>IF(A28="","",'Risk Register'!S28)</x:f>
        <x:v>Operations Manager</x:v>
      </x:c>
      <x:c r="F28" s="14" t="str">
        <x:f>IF(A28="","",'Risk Register'!T28)</x:f>
        <x:v>Planned</x:v>
      </x:c>
      <x:c r="G28" s="83" t="n">
        <x:f>IF(A28="","",IF(ISNUMBER('Risk Register'!U28),IF('Risk Register'!U28&gt;0,'Risk Register'!U28,""),""))</x:f>
        <x:v>46317</x:v>
      </x:c>
      <x:c r="H28" s="14" t="n">
        <x:f>IF(A28="","",IF(OR(F28="Closed",F28="Accepted"),"",IF(ISNUMBER('Risk Register'!U28),IF('Risk Register'!U28&gt;0,'Risk Register'!U28-TODAY(),""),"")))</x:f>
        <x:v>37</x:v>
      </x:c>
      <x:c r="I28" s="14" t="str">
        <x:f>IF(A28="","",'Risk Register'!R28)</x:f>
        <x:v>Restrict backup admin privileges and encrypt backup data.</x:v>
      </x:c>
      <x:c r="J28" s="14" t="str">
        <x:f>IF(A28="","",'Risk Register'!X28)</x:f>
        <x:v>Review backup operator permissions.</x:v>
      </x:c>
      <x:c r="K28" s="96" t="str">
        <x:f>IF(A28="","",IF('Risk Register'!Y28="","",'Risk Register'!Y28))</x:f>
      </x:c>
      <x:c r="L28" s="96" t="str">
        <x:f>IF(A28="","",IF('Risk Register'!Z28="","",'Risk Register'!Z28))</x:f>
        <x:v>Scenario only</x:v>
      </x:c>
      <x:c r="M28" s="96" t="str">
        <x:f>IF(A28="","",IF('Risk Register'!AA28="","",'Risk Register'!AA28))</x:f>
      </x:c>
      <x:c r="N28" s="98" t="str">
        <x:f>IF(A28="","",IF('Risk Register'!AB28="","",'Risk Register'!AB28))</x:f>
      </x:c>
      <x:c r="O28" s="96" t="str">
        <x:f>IF(A28="","",IF('Risk Register'!AC28="","",'Risk Register'!AC28))</x:f>
      </x:c>
      <x:c r="P28" s="96" t="str">
        <x:f>IF(A28="","",'Risk Register'!AD28)</x:f>
        <x:v>OK</x:v>
      </x:c>
      <x:c r="Q28" s="96" t="str">
        <x:f>IF(A28="","",'Risk Register'!AE28)</x:f>
        <x:v>Add assessment support</x:v>
      </x:c>
    </x:row>
    <x:row r="29" ht="100" customHeight="1">
      <x:c r="A29" s="14" t="str">
        <x:f>IF('Risk Register'!A29="","",'Risk Register'!A29)</x:f>
        <x:v>R-025</x:v>
      </x:c>
      <x:c r="B29" s="14" t="str">
        <x:f>IF(A29="","",'Risk Register'!D29)</x:f>
        <x:v>Unsupported software could remain installed and create vulnerabilities that cannot be reliably patched.</x:v>
      </x:c>
      <x:c r="C29" s="14" t="str">
        <x:f>IF(A29="","",'Risk Register'!P29)</x:f>
        <x:v>Medium</x:v>
      </x:c>
      <x:c r="D29" s="14" t="str">
        <x:f>IF(A29="","",'Risk Register'!Q29)</x:f>
        <x:v>Mitigate</x:v>
      </x:c>
      <x:c r="E29" s="14" t="str">
        <x:f>IF(A29="","",'Risk Register'!S29)</x:f>
        <x:v>IT Manager</x:v>
      </x:c>
      <x:c r="F29" s="14" t="str">
        <x:f>IF(A29="","",'Risk Register'!T29)</x:f>
        <x:v>Planned</x:v>
      </x:c>
      <x:c r="G29" s="83" t="n">
        <x:f>IF(A29="","",IF(ISNUMBER('Risk Register'!U29),IF('Risk Register'!U29&gt;0,'Risk Register'!U29,""),""))</x:f>
        <x:v>46347</x:v>
      </x:c>
      <x:c r="H29" s="14" t="n">
        <x:f>IF(A29="","",IF(OR(F29="Closed",F29="Accepted"),"",IF(ISNUMBER('Risk Register'!U29),IF('Risk Register'!U29&gt;0,'Risk Register'!U29-TODAY(),""),"")))</x:f>
        <x:v>67</x:v>
      </x:c>
      <x:c r="I29" s="14" t="str">
        <x:f>IF(A29="","",'Risk Register'!R29)</x:f>
        <x:v>Track installed software and remove or upgrade end-of-life products.</x:v>
      </x:c>
      <x:c r="J29" s="14" t="str">
        <x:f>IF(A29="","",'Risk Register'!X29)</x:f>
        <x:v>Document approved exceptions.</x:v>
      </x:c>
      <x:c r="K29" s="96" t="str">
        <x:f>IF(A29="","",IF('Risk Register'!Y29="","",'Risk Register'!Y29))</x:f>
      </x:c>
      <x:c r="L29" s="96" t="str">
        <x:f>IF(A29="","",IF('Risk Register'!Z29="","",'Risk Register'!Z29))</x:f>
        <x:v>Scenario only</x:v>
      </x:c>
      <x:c r="M29" s="96" t="str">
        <x:f>IF(A29="","",IF('Risk Register'!AA29="","",'Risk Register'!AA29))</x:f>
      </x:c>
      <x:c r="N29" s="98" t="str">
        <x:f>IF(A29="","",IF('Risk Register'!AB29="","",'Risk Register'!AB29))</x:f>
      </x:c>
      <x:c r="O29" s="96" t="str">
        <x:f>IF(A29="","",IF('Risk Register'!AC29="","",'Risk Register'!AC29))</x:f>
      </x:c>
      <x:c r="P29" s="96" t="str">
        <x:f>IF(A29="","",'Risk Register'!AD29)</x:f>
        <x:v>OK</x:v>
      </x:c>
      <x:c r="Q29" s="96" t="str">
        <x:f>IF(A29="","",'Risk Register'!AE29)</x:f>
        <x:v>Add assessment support</x:v>
      </x:c>
    </x:row>
    <x:row r="30" ht="100" customHeight="1">
      <x:c r="A30" s="14" t="str">
        <x:f>IF('Risk Register'!A30="","",'Risk Register'!A30)</x:f>
        <x:v>R-026</x:v>
      </x:c>
      <x:c r="B30" s="14" t="str">
        <x:f>IF(A30="","",'Risk Register'!D30)</x:f>
        <x:v>An attacker could delete local logs and reduce the evidence available for investigation.</x:v>
      </x:c>
      <x:c r="C30" s="14" t="str">
        <x:f>IF(A30="","",'Risk Register'!P30)</x:f>
        <x:v>Medium</x:v>
      </x:c>
      <x:c r="D30" s="14" t="str">
        <x:f>IF(A30="","",'Risk Register'!Q30)</x:f>
        <x:v>Mitigate</x:v>
      </x:c>
      <x:c r="E30" s="14" t="str">
        <x:f>IF(A30="","",'Risk Register'!S30)</x:f>
        <x:v>Security Manager</x:v>
      </x:c>
      <x:c r="F30" s="14" t="str">
        <x:f>IF(A30="","",'Risk Register'!T30)</x:f>
        <x:v>Planned</x:v>
      </x:c>
      <x:c r="G30" s="83" t="n">
        <x:f>IF(A30="","",IF(ISNUMBER('Risk Register'!U30),IF('Risk Register'!U30&gt;0,'Risk Register'!U30,""),""))</x:f>
        <x:v>46332</x:v>
      </x:c>
      <x:c r="H30" s="14" t="n">
        <x:f>IF(A30="","",IF(OR(F30="Closed",F30="Accepted"),"",IF(ISNUMBER('Risk Register'!U30),IF('Risk Register'!U30&gt;0,'Risk Register'!U30-TODAY(),""),"")))</x:f>
        <x:v>52</x:v>
      </x:c>
      <x:c r="I30" s="14" t="str">
        <x:f>IF(A30="","",'Risk Register'!R30)</x:f>
        <x:v>Forward critical logs to protected centralized storage and restrict log administration.</x:v>
      </x:c>
      <x:c r="J30" s="14" t="str">
        <x:f>IF(A30="","",'Risk Register'!X30)</x:f>
        <x:v>Define retention based on business and investigation needs.</x:v>
      </x:c>
      <x:c r="K30" s="96" t="str">
        <x:f>IF(A30="","",IF('Risk Register'!Y30="","",'Risk Register'!Y30))</x:f>
      </x:c>
      <x:c r="L30" s="96" t="str">
        <x:f>IF(A30="","",IF('Risk Register'!Z30="","",'Risk Register'!Z30))</x:f>
        <x:v>Scenario only</x:v>
      </x:c>
      <x:c r="M30" s="96" t="str">
        <x:f>IF(A30="","",IF('Risk Register'!AA30="","",'Risk Register'!AA30))</x:f>
      </x:c>
      <x:c r="N30" s="98" t="str">
        <x:f>IF(A30="","",IF('Risk Register'!AB30="","",'Risk Register'!AB30))</x:f>
      </x:c>
      <x:c r="O30" s="96" t="str">
        <x:f>IF(A30="","",IF('Risk Register'!AC30="","",'Risk Register'!AC30))</x:f>
      </x:c>
      <x:c r="P30" s="96" t="str">
        <x:f>IF(A30="","",'Risk Register'!AD30)</x:f>
        <x:v>OK</x:v>
      </x:c>
      <x:c r="Q30" s="96" t="str">
        <x:f>IF(A30="","",'Risk Register'!AE30)</x:f>
        <x:v>Add assessment support</x:v>
      </x:c>
    </x:row>
    <x:row r="31" ht="100" customHeight="1">
      <x:c r="A31" s="14" t="str">
        <x:f>IF('Risk Register'!A31="","",'Risk Register'!A31)</x:f>
        <x:v>R-027</x:v>
      </x:c>
      <x:c r="B31" s="14" t="str">
        <x:f>IF(A31="","",'Risk Register'!D31)</x:f>
        <x:v>Password reuse on applications outside SSO could increase account-compromise risk.</x:v>
      </x:c>
      <x:c r="C31" s="14" t="str">
        <x:f>IF(A31="","",'Risk Register'!P31)</x:f>
        <x:v>Medium</x:v>
      </x:c>
      <x:c r="D31" s="14" t="str">
        <x:f>IF(A31="","",'Risk Register'!Q31)</x:f>
        <x:v>Mitigate</x:v>
      </x:c>
      <x:c r="E31" s="14" t="str">
        <x:f>IF(A31="","",'Risk Register'!S31)</x:f>
        <x:v>IT Manager</x:v>
      </x:c>
      <x:c r="F31" s="14" t="str">
        <x:f>IF(A31="","",'Risk Register'!T31)</x:f>
        <x:v>Accepted</x:v>
      </x:c>
      <x:c r="G31" s="83" t="n">
        <x:f>IF(A31="","",IF(ISNUMBER('Risk Register'!U31),IF('Risk Register'!U31&gt;0,'Risk Register'!U31,""),""))</x:f>
        <x:v>46452</x:v>
      </x:c>
      <x:c r="H31" s="14" t="str">
        <x:f>IF(A31="","",IF(OR(F31="Closed",F31="Accepted"),"",IF(ISNUMBER('Risk Register'!U31),IF('Risk Register'!U31&gt;0,'Risk Register'!U31-TODAY(),""),"")))</x:f>
      </x:c>
      <x:c r="I31" s="14" t="str">
        <x:f>IF(A31="","",'Risk Register'!R31)</x:f>
        <x:v>Expand SSO/MFA coverage and provide an approved password manager.</x:v>
      </x:c>
      <x:c r="J31" s="14" t="str">
        <x:f>IF(A31="","",'Risk Register'!X31)</x:f>
        <x:v>Simulated acceptance: lower-risk apps scheduled for later SSO migration.</x:v>
      </x:c>
      <x:c r="K31" s="96" t="str">
        <x:f>IF(A31="","",IF('Risk Register'!Y31="","",'Risk Register'!Y31))</x:f>
      </x:c>
      <x:c r="L31" s="96" t="str">
        <x:f>IF(A31="","",IF('Risk Register'!Z31="","",'Risk Register'!Z31))</x:f>
        <x:v>Scenario only</x:v>
      </x:c>
      <x:c r="M31" s="96" t="str">
        <x:f>IF(A31="","",IF('Risk Register'!AA31="","",'Risk Register'!AA31))</x:f>
      </x:c>
      <x:c r="N31" s="98" t="str">
        <x:f>IF(A31="","",IF('Risk Register'!AB31="","",'Risk Register'!AB31))</x:f>
      </x:c>
      <x:c r="O31" s="96" t="str">
        <x:f>IF(A31="","",IF('Risk Register'!AC31="","",'Risk Register'!AC31))</x:f>
      </x:c>
      <x:c r="P31" s="96" t="str">
        <x:f>IF(A31="","",'Risk Register'!AD31)</x:f>
        <x:v>OK</x:v>
      </x:c>
      <x:c r="Q31" s="96" t="str">
        <x:f>IF(A31="","",'Risk Register'!AE31)</x:f>
        <x:v>Closure review needed</x:v>
      </x:c>
    </x:row>
    <x:row r="32" ht="100" customHeight="1">
      <x:c r="A32" s="14" t="str">
        <x:f>IF('Risk Register'!A32="","",'Risk Register'!A32)</x:f>
        <x:v>R-028</x:v>
      </x:c>
      <x:c r="B32" s="14" t="str">
        <x:f>IF(A32="","",'Risk Register'!D32)</x:f>
        <x:v>A supplier compromise could introduce malicious software or unauthorized privileged access into production.</x:v>
      </x:c>
      <x:c r="C32" s="14" t="str">
        <x:f>IF(A32="","",'Risk Register'!P32)</x:f>
        <x:v>High</x:v>
      </x:c>
      <x:c r="D32" s="14" t="str">
        <x:f>IF(A32="","",'Risk Register'!Q32)</x:f>
        <x:v>Mitigate</x:v>
      </x:c>
      <x:c r="E32" s="14" t="str">
        <x:f>IF(A32="","",'Risk Register'!S32)</x:f>
        <x:v>Vendor Manager</x:v>
      </x:c>
      <x:c r="F32" s="14" t="str">
        <x:f>IF(A32="","",'Risk Register'!T32)</x:f>
        <x:v>Planned</x:v>
      </x:c>
      <x:c r="G32" s="83" t="n">
        <x:f>IF(A32="","",IF(ISNUMBER('Risk Register'!U32),IF('Risk Register'!U32&gt;0,'Risk Register'!U32,""),""))</x:f>
        <x:v>46362</x:v>
      </x:c>
      <x:c r="H32" s="14" t="n">
        <x:f>IF(A32="","",IF(OR(F32="Closed",F32="Accepted"),"",IF(ISNUMBER('Risk Register'!U32),IF('Risk Register'!U32&gt;0,'Risk Register'!U32-TODAY(),""),"")))</x:f>
        <x:v>82</x:v>
      </x:c>
      <x:c r="I32" s="14" t="str">
        <x:f>IF(A32="","",'Risk Register'!R32)</x:f>
        <x:v>Limit vendor access, monitor privileged vendor activity, and validate software sources.</x:v>
      </x:c>
      <x:c r="J32" s="14" t="str">
        <x:f>IF(A32="","",'Risk Register'!X32)</x:f>
        <x:v>Focus on suppliers with code or production access.</x:v>
      </x:c>
      <x:c r="K32" s="96" t="str">
        <x:f>IF(A32="","",IF('Risk Register'!Y32="","",'Risk Register'!Y32))</x:f>
      </x:c>
      <x:c r="L32" s="96" t="str">
        <x:f>IF(A32="","",IF('Risk Register'!Z32="","",'Risk Register'!Z32))</x:f>
        <x:v>Scenario only</x:v>
      </x:c>
      <x:c r="M32" s="96" t="str">
        <x:f>IF(A32="","",IF('Risk Register'!AA32="","",'Risk Register'!AA32))</x:f>
      </x:c>
      <x:c r="N32" s="98" t="str">
        <x:f>IF(A32="","",IF('Risk Register'!AB32="","",'Risk Register'!AB32))</x:f>
      </x:c>
      <x:c r="O32" s="96" t="str">
        <x:f>IF(A32="","",IF('Risk Register'!AC32="","",'Risk Register'!AC32))</x:f>
      </x:c>
      <x:c r="P32" s="96" t="str">
        <x:f>IF(A32="","",'Risk Register'!AD32)</x:f>
        <x:v>OK</x:v>
      </x:c>
      <x:c r="Q32" s="96" t="str">
        <x:f>IF(A32="","",'Risk Register'!AE32)</x:f>
        <x:v>Add assessment support</x:v>
      </x:c>
    </x:row>
    <x:row r="33" ht="100" customHeight="1">
      <x:c r="A33" s="14" t="str">
        <x:f>IF('Risk Register'!A33="","",'Risk Register'!A33)</x:f>
        <x:v>R-029</x:v>
      </x:c>
      <x:c r="B33" s="14" t="str">
        <x:f>IF(A33="","",'Risk Register'!D33)</x:f>
        <x:v>A SaaS outage could temporarily interrupt email and collaboration.</x:v>
      </x:c>
      <x:c r="C33" s="14" t="str">
        <x:f>IF(A33="","",'Risk Register'!P33)</x:f>
        <x:v>Low</x:v>
      </x:c>
      <x:c r="D33" s="14" t="str">
        <x:f>IF(A33="","",'Risk Register'!Q33)</x:f>
        <x:v>Accept</x:v>
      </x:c>
      <x:c r="E33" s="14" t="str">
        <x:f>IF(A33="","",'Risk Register'!S33)</x:f>
        <x:v>Operations Manager</x:v>
      </x:c>
      <x:c r="F33" s="14" t="str">
        <x:f>IF(A33="","",'Risk Register'!T33)</x:f>
        <x:v>Accepted</x:v>
      </x:c>
      <x:c r="G33" s="83" t="n">
        <x:f>IF(A33="","",IF(ISNUMBER('Risk Register'!U33),IF('Risk Register'!U33&gt;0,'Risk Register'!U33,""),""))</x:f>
        <x:v>46452</x:v>
      </x:c>
      <x:c r="H33" s="14" t="str">
        <x:f>IF(A33="","",IF(OR(F33="Closed",F33="Accepted"),"",IF(ISNUMBER('Risk Register'!U33),IF('Risk Register'!U33&gt;0,'Risk Register'!U33-TODAY(),""),"")))</x:f>
      </x:c>
      <x:c r="I33" s="14" t="str">
        <x:f>IF(A33="","",'Risk Register'!R33)</x:f>
        <x:v>Document alternate communications and administrator recovery procedures.</x:v>
      </x:c>
      <x:c r="J33" s="14" t="str">
        <x:f>IF(A33="","",'Risk Register'!X33)</x:f>
        <x:v>Simulated risk acceptance due to provider resilience and lower residual impact.</x:v>
      </x:c>
      <x:c r="K33" s="96" t="str">
        <x:f>IF(A33="","",IF('Risk Register'!Y33="","",'Risk Register'!Y33))</x:f>
      </x:c>
      <x:c r="L33" s="96" t="str">
        <x:f>IF(A33="","",IF('Risk Register'!Z33="","",'Risk Register'!Z33))</x:f>
        <x:v>Scenario only</x:v>
      </x:c>
      <x:c r="M33" s="96" t="str">
        <x:f>IF(A33="","",IF('Risk Register'!AA33="","",'Risk Register'!AA33))</x:f>
      </x:c>
      <x:c r="N33" s="98" t="str">
        <x:f>IF(A33="","",IF('Risk Register'!AB33="","",'Risk Register'!AB33))</x:f>
      </x:c>
      <x:c r="O33" s="96" t="str">
        <x:f>IF(A33="","",IF('Risk Register'!AC33="","",'Risk Register'!AC33))</x:f>
      </x:c>
      <x:c r="P33" s="96" t="str">
        <x:f>IF(A33="","",'Risk Register'!AD33)</x:f>
        <x:v>OK</x:v>
      </x:c>
      <x:c r="Q33" s="96" t="str">
        <x:f>IF(A33="","",'Risk Register'!AE33)</x:f>
        <x:v>Closure review needed</x:v>
      </x:c>
    </x:row>
    <x:row r="34" ht="100" customHeight="1">
      <x:c r="A34" s="14" t="str">
        <x:f>IF('Risk Register'!A34="","",'Risk Register'!A34)</x:f>
        <x:v>R-030</x:v>
      </x:c>
      <x:c r="B34" s="14" t="str">
        <x:f>IF(A34="","",'Risk Register'!D34)</x:f>
        <x:v>Security exceptions could remain open indefinitely without documented owners, compensating controls, or expiration dates.</x:v>
      </x:c>
      <x:c r="C34" s="14" t="str">
        <x:f>IF(A34="","",'Risk Register'!P34)</x:f>
        <x:v>Medium</x:v>
      </x:c>
      <x:c r="D34" s="14" t="str">
        <x:f>IF(A34="","",'Risk Register'!Q34)</x:f>
        <x:v>Mitigate</x:v>
      </x:c>
      <x:c r="E34" s="14" t="str">
        <x:f>IF(A34="","",'Risk Register'!S34)</x:f>
        <x:v>Compliance Manager</x:v>
      </x:c>
      <x:c r="F34" s="14" t="str">
        <x:f>IF(A34="","",'Risk Register'!T34)</x:f>
        <x:v>Open</x:v>
      </x:c>
      <x:c r="G34" s="83" t="n">
        <x:f>IF(A34="","",IF(ISNUMBER('Risk Register'!U34),IF('Risk Register'!U34&gt;0,'Risk Register'!U34,""),""))</x:f>
        <x:v>46332</x:v>
      </x:c>
      <x:c r="H34" s="14" t="n">
        <x:f>IF(A34="","",IF(OR(F34="Closed",F34="Accepted"),"",IF(ISNUMBER('Risk Register'!U34),IF('Risk Register'!U34&gt;0,'Risk Register'!U34-TODAY(),""),"")))</x:f>
        <x:v>52</x:v>
      </x:c>
      <x:c r="I34" s="14" t="str">
        <x:f>IF(A34="","",'Risk Register'!R34)</x:f>
        <x:v>Create an exception register with owner, justification, compensating control, approval, and expiration.</x:v>
      </x:c>
      <x:c r="J34" s="14" t="str">
        <x:f>IF(A34="","",'Risk Register'!X34)</x:f>
        <x:v>Link exceptions back to risk IDs where relevant.</x:v>
      </x:c>
      <x:c r="K34" s="96" t="str">
        <x:f>IF(A34="","",IF('Risk Register'!Y34="","",'Risk Register'!Y34))</x:f>
      </x:c>
      <x:c r="L34" s="96" t="str">
        <x:f>IF(A34="","",IF('Risk Register'!Z34="","",'Risk Register'!Z34))</x:f>
        <x:v>Scenario only</x:v>
      </x:c>
      <x:c r="M34" s="96" t="str">
        <x:f>IF(A34="","",IF('Risk Register'!AA34="","",'Risk Register'!AA34))</x:f>
      </x:c>
      <x:c r="N34" s="98" t="str">
        <x:f>IF(A34="","",IF('Risk Register'!AB34="","",'Risk Register'!AB34))</x:f>
      </x:c>
      <x:c r="O34" s="96" t="str">
        <x:f>IF(A34="","",IF('Risk Register'!AC34="","",'Risk Register'!AC34))</x:f>
      </x:c>
      <x:c r="P34" s="96" t="str">
        <x:f>IF(A34="","",'Risk Register'!AD34)</x:f>
        <x:v>OK</x:v>
      </x:c>
      <x:c r="Q34" s="96" t="str">
        <x:f>IF(A34="","",'Risk Register'!AE34)</x:f>
        <x:v>Add assessment support</x:v>
      </x:c>
    </x:row>
    <x:row r="35" ht="36" customHeight="1">
      <x:c r="A35" s="14" t="str">
        <x:f>IF('Risk Register'!A35="","",'Risk Register'!A35)</x:f>
      </x:c>
      <x:c r="B35" s="14" t="str">
        <x:f>IF(A35="","",'Risk Register'!D35)</x:f>
      </x:c>
      <x:c r="C35" s="14" t="str">
        <x:f>IF(A35="","",'Risk Register'!P35)</x:f>
      </x:c>
      <x:c r="D35" s="14" t="str">
        <x:f>IF(A35="","",'Risk Register'!Q35)</x:f>
      </x:c>
      <x:c r="E35" s="14" t="str">
        <x:f>IF(A35="","",'Risk Register'!S35)</x:f>
      </x:c>
      <x:c r="F35" s="14" t="str">
        <x:f>IF(A35="","",'Risk Register'!T35)</x:f>
      </x:c>
      <x:c r="G35" s="83" t="str">
        <x:f>IF(A35="","",IF(ISNUMBER('Risk Register'!U35),IF('Risk Register'!U35&gt;0,'Risk Register'!U35,""),""))</x:f>
      </x:c>
      <x:c r="H35" s="14" t="str">
        <x:f>IF(A35="","",IF(OR(F35="Closed",F35="Accepted"),"",IF(ISNUMBER('Risk Register'!U35),IF('Risk Register'!U35&gt;0,'Risk Register'!U35-TODAY(),""),"")))</x:f>
      </x:c>
      <x:c r="I35" s="14" t="str">
        <x:f>IF(A35="","",'Risk Register'!R35)</x:f>
      </x:c>
      <x:c r="J35" s="14" t="str">
        <x:f>IF(A35="","",'Risk Register'!X35)</x:f>
      </x:c>
      <x:c r="K35" s="96" t="str">
        <x:f>IF(A35="","",IF('Risk Register'!Y35="","",'Risk Register'!Y35))</x:f>
      </x:c>
      <x:c r="L35" s="96" t="str">
        <x:f>IF(A35="","",IF('Risk Register'!Z35="","",'Risk Register'!Z35))</x:f>
      </x:c>
      <x:c r="M35" s="96" t="str">
        <x:f>IF(A35="","",IF('Risk Register'!AA35="","",'Risk Register'!AA35))</x:f>
      </x:c>
      <x:c r="N35" s="98" t="str">
        <x:f>IF(A35="","",IF('Risk Register'!AB35="","",'Risk Register'!AB35))</x:f>
      </x:c>
      <x:c r="O35" s="96" t="str">
        <x:f>IF(A35="","",IF('Risk Register'!AC35="","",'Risk Register'!AC35))</x:f>
      </x:c>
      <x:c r="P35" s="96" t="str">
        <x:f>IF(A35="","",'Risk Register'!AD35)</x:f>
      </x:c>
      <x:c r="Q35" s="96" t="str">
        <x:f>IF(A35="","",'Risk Register'!AE35)</x:f>
      </x:c>
    </x:row>
    <x:row r="36" ht="36" customHeight="1">
      <x:c r="A36" s="14" t="str">
        <x:f>IF('Risk Register'!A36="","",'Risk Register'!A36)</x:f>
      </x:c>
      <x:c r="B36" s="14" t="str">
        <x:f>IF(A36="","",'Risk Register'!D36)</x:f>
      </x:c>
      <x:c r="C36" s="14" t="str">
        <x:f>IF(A36="","",'Risk Register'!P36)</x:f>
      </x:c>
      <x:c r="D36" s="14" t="str">
        <x:f>IF(A36="","",'Risk Register'!Q36)</x:f>
      </x:c>
      <x:c r="E36" s="14" t="str">
        <x:f>IF(A36="","",'Risk Register'!S36)</x:f>
      </x:c>
      <x:c r="F36" s="14" t="str">
        <x:f>IF(A36="","",'Risk Register'!T36)</x:f>
      </x:c>
      <x:c r="G36" s="83" t="str">
        <x:f>IF(A36="","",IF(ISNUMBER('Risk Register'!U36),IF('Risk Register'!U36&gt;0,'Risk Register'!U36,""),""))</x:f>
      </x:c>
      <x:c r="H36" s="14" t="str">
        <x:f>IF(A36="","",IF(OR(F36="Closed",F36="Accepted"),"",IF(ISNUMBER('Risk Register'!U36),IF('Risk Register'!U36&gt;0,'Risk Register'!U36-TODAY(),""),"")))</x:f>
      </x:c>
      <x:c r="I36" s="14" t="str">
        <x:f>IF(A36="","",'Risk Register'!R36)</x:f>
      </x:c>
      <x:c r="J36" s="14" t="str">
        <x:f>IF(A36="","",'Risk Register'!X36)</x:f>
      </x:c>
      <x:c r="K36" s="96" t="str">
        <x:f>IF(A36="","",IF('Risk Register'!Y36="","",'Risk Register'!Y36))</x:f>
      </x:c>
      <x:c r="L36" s="96" t="str">
        <x:f>IF(A36="","",IF('Risk Register'!Z36="","",'Risk Register'!Z36))</x:f>
      </x:c>
      <x:c r="M36" s="96" t="str">
        <x:f>IF(A36="","",IF('Risk Register'!AA36="","",'Risk Register'!AA36))</x:f>
      </x:c>
      <x:c r="N36" s="98" t="str">
        <x:f>IF(A36="","",IF('Risk Register'!AB36="","",'Risk Register'!AB36))</x:f>
      </x:c>
      <x:c r="O36" s="96" t="str">
        <x:f>IF(A36="","",IF('Risk Register'!AC36="","",'Risk Register'!AC36))</x:f>
      </x:c>
      <x:c r="P36" s="96" t="str">
        <x:f>IF(A36="","",'Risk Register'!AD36)</x:f>
      </x:c>
      <x:c r="Q36" s="96" t="str">
        <x:f>IF(A36="","",'Risk Register'!AE36)</x:f>
      </x:c>
    </x:row>
    <x:row r="37" ht="36" customHeight="1">
      <x:c r="A37" s="14" t="str">
        <x:f>IF('Risk Register'!A37="","",'Risk Register'!A37)</x:f>
      </x:c>
      <x:c r="B37" s="14" t="str">
        <x:f>IF(A37="","",'Risk Register'!D37)</x:f>
      </x:c>
      <x:c r="C37" s="14" t="str">
        <x:f>IF(A37="","",'Risk Register'!P37)</x:f>
      </x:c>
      <x:c r="D37" s="14" t="str">
        <x:f>IF(A37="","",'Risk Register'!Q37)</x:f>
      </x:c>
      <x:c r="E37" s="14" t="str">
        <x:f>IF(A37="","",'Risk Register'!S37)</x:f>
      </x:c>
      <x:c r="F37" s="14" t="str">
        <x:f>IF(A37="","",'Risk Register'!T37)</x:f>
      </x:c>
      <x:c r="G37" s="83" t="str">
        <x:f>IF(A37="","",IF(ISNUMBER('Risk Register'!U37),IF('Risk Register'!U37&gt;0,'Risk Register'!U37,""),""))</x:f>
      </x:c>
      <x:c r="H37" s="14" t="str">
        <x:f>IF(A37="","",IF(OR(F37="Closed",F37="Accepted"),"",IF(ISNUMBER('Risk Register'!U37),IF('Risk Register'!U37&gt;0,'Risk Register'!U37-TODAY(),""),"")))</x:f>
      </x:c>
      <x:c r="I37" s="14" t="str">
        <x:f>IF(A37="","",'Risk Register'!R37)</x:f>
      </x:c>
      <x:c r="J37" s="14" t="str">
        <x:f>IF(A37="","",'Risk Register'!X37)</x:f>
      </x:c>
      <x:c r="K37" s="96" t="str">
        <x:f>IF(A37="","",IF('Risk Register'!Y37="","",'Risk Register'!Y37))</x:f>
      </x:c>
      <x:c r="L37" s="96" t="str">
        <x:f>IF(A37="","",IF('Risk Register'!Z37="","",'Risk Register'!Z37))</x:f>
      </x:c>
      <x:c r="M37" s="96" t="str">
        <x:f>IF(A37="","",IF('Risk Register'!AA37="","",'Risk Register'!AA37))</x:f>
      </x:c>
      <x:c r="N37" s="98" t="str">
        <x:f>IF(A37="","",IF('Risk Register'!AB37="","",'Risk Register'!AB37))</x:f>
      </x:c>
      <x:c r="O37" s="96" t="str">
        <x:f>IF(A37="","",IF('Risk Register'!AC37="","",'Risk Register'!AC37))</x:f>
      </x:c>
      <x:c r="P37" s="96" t="str">
        <x:f>IF(A37="","",'Risk Register'!AD37)</x:f>
      </x:c>
      <x:c r="Q37" s="96" t="str">
        <x:f>IF(A37="","",'Risk Register'!AE37)</x:f>
      </x:c>
    </x:row>
    <x:row r="38" ht="36" customHeight="1">
      <x:c r="A38" s="14" t="str">
        <x:f>IF('Risk Register'!A38="","",'Risk Register'!A38)</x:f>
      </x:c>
      <x:c r="B38" s="14" t="str">
        <x:f>IF(A38="","",'Risk Register'!D38)</x:f>
      </x:c>
      <x:c r="C38" s="14" t="str">
        <x:f>IF(A38="","",'Risk Register'!P38)</x:f>
      </x:c>
      <x:c r="D38" s="14" t="str">
        <x:f>IF(A38="","",'Risk Register'!Q38)</x:f>
      </x:c>
      <x:c r="E38" s="14" t="str">
        <x:f>IF(A38="","",'Risk Register'!S38)</x:f>
      </x:c>
      <x:c r="F38" s="14" t="str">
        <x:f>IF(A38="","",'Risk Register'!T38)</x:f>
      </x:c>
      <x:c r="G38" s="83" t="str">
        <x:f>IF(A38="","",IF(ISNUMBER('Risk Register'!U38),IF('Risk Register'!U38&gt;0,'Risk Register'!U38,""),""))</x:f>
      </x:c>
      <x:c r="H38" s="14" t="str">
        <x:f>IF(A38="","",IF(OR(F38="Closed",F38="Accepted"),"",IF(ISNUMBER('Risk Register'!U38),IF('Risk Register'!U38&gt;0,'Risk Register'!U38-TODAY(),""),"")))</x:f>
      </x:c>
      <x:c r="I38" s="14" t="str">
        <x:f>IF(A38="","",'Risk Register'!R38)</x:f>
      </x:c>
      <x:c r="J38" s="14" t="str">
        <x:f>IF(A38="","",'Risk Register'!X38)</x:f>
      </x:c>
      <x:c r="K38" s="96" t="str">
        <x:f>IF(A38="","",IF('Risk Register'!Y38="","",'Risk Register'!Y38))</x:f>
      </x:c>
      <x:c r="L38" s="96" t="str">
        <x:f>IF(A38="","",IF('Risk Register'!Z38="","",'Risk Register'!Z38))</x:f>
      </x:c>
      <x:c r="M38" s="96" t="str">
        <x:f>IF(A38="","",IF('Risk Register'!AA38="","",'Risk Register'!AA38))</x:f>
      </x:c>
      <x:c r="N38" s="98" t="str">
        <x:f>IF(A38="","",IF('Risk Register'!AB38="","",'Risk Register'!AB38))</x:f>
      </x:c>
      <x:c r="O38" s="96" t="str">
        <x:f>IF(A38="","",IF('Risk Register'!AC38="","",'Risk Register'!AC38))</x:f>
      </x:c>
      <x:c r="P38" s="96" t="str">
        <x:f>IF(A38="","",'Risk Register'!AD38)</x:f>
      </x:c>
      <x:c r="Q38" s="96" t="str">
        <x:f>IF(A38="","",'Risk Register'!AE38)</x:f>
      </x:c>
    </x:row>
    <x:row r="39" ht="36" customHeight="1">
      <x:c r="A39" s="14" t="str">
        <x:f>IF('Risk Register'!A39="","",'Risk Register'!A39)</x:f>
      </x:c>
      <x:c r="B39" s="14" t="str">
        <x:f>IF(A39="","",'Risk Register'!D39)</x:f>
      </x:c>
      <x:c r="C39" s="14" t="str">
        <x:f>IF(A39="","",'Risk Register'!P39)</x:f>
      </x:c>
      <x:c r="D39" s="14" t="str">
        <x:f>IF(A39="","",'Risk Register'!Q39)</x:f>
      </x:c>
      <x:c r="E39" s="14" t="str">
        <x:f>IF(A39="","",'Risk Register'!S39)</x:f>
      </x:c>
      <x:c r="F39" s="14" t="str">
        <x:f>IF(A39="","",'Risk Register'!T39)</x:f>
      </x:c>
      <x:c r="G39" s="83" t="str">
        <x:f>IF(A39="","",IF(ISNUMBER('Risk Register'!U39),IF('Risk Register'!U39&gt;0,'Risk Register'!U39,""),""))</x:f>
      </x:c>
      <x:c r="H39" s="14" t="str">
        <x:f>IF(A39="","",IF(OR(F39="Closed",F39="Accepted"),"",IF(ISNUMBER('Risk Register'!U39),IF('Risk Register'!U39&gt;0,'Risk Register'!U39-TODAY(),""),"")))</x:f>
      </x:c>
      <x:c r="I39" s="14" t="str">
        <x:f>IF(A39="","",'Risk Register'!R39)</x:f>
      </x:c>
      <x:c r="J39" s="14" t="str">
        <x:f>IF(A39="","",'Risk Register'!X39)</x:f>
      </x:c>
      <x:c r="K39" s="96" t="str">
        <x:f>IF(A39="","",IF('Risk Register'!Y39="","",'Risk Register'!Y39))</x:f>
      </x:c>
      <x:c r="L39" s="96" t="str">
        <x:f>IF(A39="","",IF('Risk Register'!Z39="","",'Risk Register'!Z39))</x:f>
      </x:c>
      <x:c r="M39" s="96" t="str">
        <x:f>IF(A39="","",IF('Risk Register'!AA39="","",'Risk Register'!AA39))</x:f>
      </x:c>
      <x:c r="N39" s="98" t="str">
        <x:f>IF(A39="","",IF('Risk Register'!AB39="","",'Risk Register'!AB39))</x:f>
      </x:c>
      <x:c r="O39" s="96" t="str">
        <x:f>IF(A39="","",IF('Risk Register'!AC39="","",'Risk Register'!AC39))</x:f>
      </x:c>
      <x:c r="P39" s="96" t="str">
        <x:f>IF(A39="","",'Risk Register'!AD39)</x:f>
      </x:c>
      <x:c r="Q39" s="96" t="str">
        <x:f>IF(A39="","",'Risk Register'!AE39)</x:f>
      </x:c>
    </x:row>
    <x:row r="40" ht="36" customHeight="1">
      <x:c r="A40" s="14" t="str">
        <x:f>IF('Risk Register'!A40="","",'Risk Register'!A40)</x:f>
      </x:c>
      <x:c r="B40" s="14" t="str">
        <x:f>IF(A40="","",'Risk Register'!D40)</x:f>
      </x:c>
      <x:c r="C40" s="14" t="str">
        <x:f>IF(A40="","",'Risk Register'!P40)</x:f>
      </x:c>
      <x:c r="D40" s="14" t="str">
        <x:f>IF(A40="","",'Risk Register'!Q40)</x:f>
      </x:c>
      <x:c r="E40" s="14" t="str">
        <x:f>IF(A40="","",'Risk Register'!S40)</x:f>
      </x:c>
      <x:c r="F40" s="14" t="str">
        <x:f>IF(A40="","",'Risk Register'!T40)</x:f>
      </x:c>
      <x:c r="G40" s="83" t="str">
        <x:f>IF(A40="","",IF(ISNUMBER('Risk Register'!U40),IF('Risk Register'!U40&gt;0,'Risk Register'!U40,""),""))</x:f>
      </x:c>
      <x:c r="H40" s="14" t="str">
        <x:f>IF(A40="","",IF(OR(F40="Closed",F40="Accepted"),"",IF(ISNUMBER('Risk Register'!U40),IF('Risk Register'!U40&gt;0,'Risk Register'!U40-TODAY(),""),"")))</x:f>
      </x:c>
      <x:c r="I40" s="14" t="str">
        <x:f>IF(A40="","",'Risk Register'!R40)</x:f>
      </x:c>
      <x:c r="J40" s="14" t="str">
        <x:f>IF(A40="","",'Risk Register'!X40)</x:f>
      </x:c>
      <x:c r="K40" s="96" t="str">
        <x:f>IF(A40="","",IF('Risk Register'!Y40="","",'Risk Register'!Y40))</x:f>
      </x:c>
      <x:c r="L40" s="96" t="str">
        <x:f>IF(A40="","",IF('Risk Register'!Z40="","",'Risk Register'!Z40))</x:f>
      </x:c>
      <x:c r="M40" s="96" t="str">
        <x:f>IF(A40="","",IF('Risk Register'!AA40="","",'Risk Register'!AA40))</x:f>
      </x:c>
      <x:c r="N40" s="98" t="str">
        <x:f>IF(A40="","",IF('Risk Register'!AB40="","",'Risk Register'!AB40))</x:f>
      </x:c>
      <x:c r="O40" s="96" t="str">
        <x:f>IF(A40="","",IF('Risk Register'!AC40="","",'Risk Register'!AC40))</x:f>
      </x:c>
      <x:c r="P40" s="96" t="str">
        <x:f>IF(A40="","",'Risk Register'!AD40)</x:f>
      </x:c>
      <x:c r="Q40" s="96" t="str">
        <x:f>IF(A40="","",'Risk Register'!AE40)</x:f>
      </x:c>
    </x:row>
    <x:row r="41" ht="36" customHeight="1">
      <x:c r="A41" s="14" t="str">
        <x:f>IF('Risk Register'!A41="","",'Risk Register'!A41)</x:f>
      </x:c>
      <x:c r="B41" s="14" t="str">
        <x:f>IF(A41="","",'Risk Register'!D41)</x:f>
      </x:c>
      <x:c r="C41" s="14" t="str">
        <x:f>IF(A41="","",'Risk Register'!P41)</x:f>
      </x:c>
      <x:c r="D41" s="14" t="str">
        <x:f>IF(A41="","",'Risk Register'!Q41)</x:f>
      </x:c>
      <x:c r="E41" s="14" t="str">
        <x:f>IF(A41="","",'Risk Register'!S41)</x:f>
      </x:c>
      <x:c r="F41" s="14" t="str">
        <x:f>IF(A41="","",'Risk Register'!T41)</x:f>
      </x:c>
      <x:c r="G41" s="83" t="str">
        <x:f>IF(A41="","",IF(ISNUMBER('Risk Register'!U41),IF('Risk Register'!U41&gt;0,'Risk Register'!U41,""),""))</x:f>
      </x:c>
      <x:c r="H41" s="14" t="str">
        <x:f>IF(A41="","",IF(OR(F41="Closed",F41="Accepted"),"",IF(ISNUMBER('Risk Register'!U41),IF('Risk Register'!U41&gt;0,'Risk Register'!U41-TODAY(),""),"")))</x:f>
      </x:c>
      <x:c r="I41" s="14" t="str">
        <x:f>IF(A41="","",'Risk Register'!R41)</x:f>
      </x:c>
      <x:c r="J41" s="14" t="str">
        <x:f>IF(A41="","",'Risk Register'!X41)</x:f>
      </x:c>
      <x:c r="K41" s="96" t="str">
        <x:f>IF(A41="","",IF('Risk Register'!Y41="","",'Risk Register'!Y41))</x:f>
      </x:c>
      <x:c r="L41" s="96" t="str">
        <x:f>IF(A41="","",IF('Risk Register'!Z41="","",'Risk Register'!Z41))</x:f>
      </x:c>
      <x:c r="M41" s="96" t="str">
        <x:f>IF(A41="","",IF('Risk Register'!AA41="","",'Risk Register'!AA41))</x:f>
      </x:c>
      <x:c r="N41" s="98" t="str">
        <x:f>IF(A41="","",IF('Risk Register'!AB41="","",'Risk Register'!AB41))</x:f>
      </x:c>
      <x:c r="O41" s="96" t="str">
        <x:f>IF(A41="","",IF('Risk Register'!AC41="","",'Risk Register'!AC41))</x:f>
      </x:c>
      <x:c r="P41" s="96" t="str">
        <x:f>IF(A41="","",'Risk Register'!AD41)</x:f>
      </x:c>
      <x:c r="Q41" s="96" t="str">
        <x:f>IF(A41="","",'Risk Register'!AE41)</x:f>
      </x:c>
    </x:row>
    <x:row r="42" ht="36" customHeight="1">
      <x:c r="A42" s="14" t="str">
        <x:f>IF('Risk Register'!A42="","",'Risk Register'!A42)</x:f>
      </x:c>
      <x:c r="B42" s="14" t="str">
        <x:f>IF(A42="","",'Risk Register'!D42)</x:f>
      </x:c>
      <x:c r="C42" s="14" t="str">
        <x:f>IF(A42="","",'Risk Register'!P42)</x:f>
      </x:c>
      <x:c r="D42" s="14" t="str">
        <x:f>IF(A42="","",'Risk Register'!Q42)</x:f>
      </x:c>
      <x:c r="E42" s="14" t="str">
        <x:f>IF(A42="","",'Risk Register'!S42)</x:f>
      </x:c>
      <x:c r="F42" s="14" t="str">
        <x:f>IF(A42="","",'Risk Register'!T42)</x:f>
      </x:c>
      <x:c r="G42" s="83" t="str">
        <x:f>IF(A42="","",IF(ISNUMBER('Risk Register'!U42),IF('Risk Register'!U42&gt;0,'Risk Register'!U42,""),""))</x:f>
      </x:c>
      <x:c r="H42" s="14" t="str">
        <x:f>IF(A42="","",IF(OR(F42="Closed",F42="Accepted"),"",IF(ISNUMBER('Risk Register'!U42),IF('Risk Register'!U42&gt;0,'Risk Register'!U42-TODAY(),""),"")))</x:f>
      </x:c>
      <x:c r="I42" s="14" t="str">
        <x:f>IF(A42="","",'Risk Register'!R42)</x:f>
      </x:c>
      <x:c r="J42" s="14" t="str">
        <x:f>IF(A42="","",'Risk Register'!X42)</x:f>
      </x:c>
      <x:c r="K42" s="96" t="str">
        <x:f>IF(A42="","",IF('Risk Register'!Y42="","",'Risk Register'!Y42))</x:f>
      </x:c>
      <x:c r="L42" s="96" t="str">
        <x:f>IF(A42="","",IF('Risk Register'!Z42="","",'Risk Register'!Z42))</x:f>
      </x:c>
      <x:c r="M42" s="96" t="str">
        <x:f>IF(A42="","",IF('Risk Register'!AA42="","",'Risk Register'!AA42))</x:f>
      </x:c>
      <x:c r="N42" s="98" t="str">
        <x:f>IF(A42="","",IF('Risk Register'!AB42="","",'Risk Register'!AB42))</x:f>
      </x:c>
      <x:c r="O42" s="96" t="str">
        <x:f>IF(A42="","",IF('Risk Register'!AC42="","",'Risk Register'!AC42))</x:f>
      </x:c>
      <x:c r="P42" s="96" t="str">
        <x:f>IF(A42="","",'Risk Register'!AD42)</x:f>
      </x:c>
      <x:c r="Q42" s="96" t="str">
        <x:f>IF(A42="","",'Risk Register'!AE42)</x:f>
      </x:c>
    </x:row>
    <x:row r="43" ht="36" customHeight="1">
      <x:c r="A43" s="14" t="str">
        <x:f>IF('Risk Register'!A43="","",'Risk Register'!A43)</x:f>
      </x:c>
      <x:c r="B43" s="14" t="str">
        <x:f>IF(A43="","",'Risk Register'!D43)</x:f>
      </x:c>
      <x:c r="C43" s="14" t="str">
        <x:f>IF(A43="","",'Risk Register'!P43)</x:f>
      </x:c>
      <x:c r="D43" s="14" t="str">
        <x:f>IF(A43="","",'Risk Register'!Q43)</x:f>
      </x:c>
      <x:c r="E43" s="14" t="str">
        <x:f>IF(A43="","",'Risk Register'!S43)</x:f>
      </x:c>
      <x:c r="F43" s="14" t="str">
        <x:f>IF(A43="","",'Risk Register'!T43)</x:f>
      </x:c>
      <x:c r="G43" s="83" t="str">
        <x:f>IF(A43="","",IF(ISNUMBER('Risk Register'!U43),IF('Risk Register'!U43&gt;0,'Risk Register'!U43,""),""))</x:f>
      </x:c>
      <x:c r="H43" s="14" t="str">
        <x:f>IF(A43="","",IF(OR(F43="Closed",F43="Accepted"),"",IF(ISNUMBER('Risk Register'!U43),IF('Risk Register'!U43&gt;0,'Risk Register'!U43-TODAY(),""),"")))</x:f>
      </x:c>
      <x:c r="I43" s="14" t="str">
        <x:f>IF(A43="","",'Risk Register'!R43)</x:f>
      </x:c>
      <x:c r="J43" s="14" t="str">
        <x:f>IF(A43="","",'Risk Register'!X43)</x:f>
      </x:c>
      <x:c r="K43" s="96" t="str">
        <x:f>IF(A43="","",IF('Risk Register'!Y43="","",'Risk Register'!Y43))</x:f>
      </x:c>
      <x:c r="L43" s="96" t="str">
        <x:f>IF(A43="","",IF('Risk Register'!Z43="","",'Risk Register'!Z43))</x:f>
      </x:c>
      <x:c r="M43" s="96" t="str">
        <x:f>IF(A43="","",IF('Risk Register'!AA43="","",'Risk Register'!AA43))</x:f>
      </x:c>
      <x:c r="N43" s="98" t="str">
        <x:f>IF(A43="","",IF('Risk Register'!AB43="","",'Risk Register'!AB43))</x:f>
      </x:c>
      <x:c r="O43" s="96" t="str">
        <x:f>IF(A43="","",IF('Risk Register'!AC43="","",'Risk Register'!AC43))</x:f>
      </x:c>
      <x:c r="P43" s="96" t="str">
        <x:f>IF(A43="","",'Risk Register'!AD43)</x:f>
      </x:c>
      <x:c r="Q43" s="96" t="str">
        <x:f>IF(A43="","",'Risk Register'!AE43)</x:f>
      </x:c>
    </x:row>
    <x:row r="44" ht="36" customHeight="1">
      <x:c r="A44" s="14" t="str">
        <x:f>IF('Risk Register'!A44="","",'Risk Register'!A44)</x:f>
      </x:c>
      <x:c r="B44" s="14" t="str">
        <x:f>IF(A44="","",'Risk Register'!D44)</x:f>
      </x:c>
      <x:c r="C44" s="14" t="str">
        <x:f>IF(A44="","",'Risk Register'!P44)</x:f>
      </x:c>
      <x:c r="D44" s="14" t="str">
        <x:f>IF(A44="","",'Risk Register'!Q44)</x:f>
      </x:c>
      <x:c r="E44" s="14" t="str">
        <x:f>IF(A44="","",'Risk Register'!S44)</x:f>
      </x:c>
      <x:c r="F44" s="14" t="str">
        <x:f>IF(A44="","",'Risk Register'!T44)</x:f>
      </x:c>
      <x:c r="G44" s="83" t="str">
        <x:f>IF(A44="","",IF(ISNUMBER('Risk Register'!U44),IF('Risk Register'!U44&gt;0,'Risk Register'!U44,""),""))</x:f>
      </x:c>
      <x:c r="H44" s="14" t="str">
        <x:f>IF(A44="","",IF(OR(F44="Closed",F44="Accepted"),"",IF(ISNUMBER('Risk Register'!U44),IF('Risk Register'!U44&gt;0,'Risk Register'!U44-TODAY(),""),"")))</x:f>
      </x:c>
      <x:c r="I44" s="14" t="str">
        <x:f>IF(A44="","",'Risk Register'!R44)</x:f>
      </x:c>
      <x:c r="J44" s="14" t="str">
        <x:f>IF(A44="","",'Risk Register'!X44)</x:f>
      </x:c>
      <x:c r="K44" s="96" t="str">
        <x:f>IF(A44="","",IF('Risk Register'!Y44="","",'Risk Register'!Y44))</x:f>
      </x:c>
      <x:c r="L44" s="96" t="str">
        <x:f>IF(A44="","",IF('Risk Register'!Z44="","",'Risk Register'!Z44))</x:f>
      </x:c>
      <x:c r="M44" s="96" t="str">
        <x:f>IF(A44="","",IF('Risk Register'!AA44="","",'Risk Register'!AA44))</x:f>
      </x:c>
      <x:c r="N44" s="98" t="str">
        <x:f>IF(A44="","",IF('Risk Register'!AB44="","",'Risk Register'!AB44))</x:f>
      </x:c>
      <x:c r="O44" s="96" t="str">
        <x:f>IF(A44="","",IF('Risk Register'!AC44="","",'Risk Register'!AC44))</x:f>
      </x:c>
      <x:c r="P44" s="96" t="str">
        <x:f>IF(A44="","",'Risk Register'!AD44)</x:f>
      </x:c>
      <x:c r="Q44" s="96" t="str">
        <x:f>IF(A44="","",'Risk Register'!AE44)</x:f>
      </x:c>
    </x:row>
    <x:row r="45" ht="36" customHeight="1">
      <x:c r="A45" s="14" t="str">
        <x:f>IF('Risk Register'!A45="","",'Risk Register'!A45)</x:f>
      </x:c>
      <x:c r="B45" s="14" t="str">
        <x:f>IF(A45="","",'Risk Register'!D45)</x:f>
      </x:c>
      <x:c r="C45" s="14" t="str">
        <x:f>IF(A45="","",'Risk Register'!P45)</x:f>
      </x:c>
      <x:c r="D45" s="14" t="str">
        <x:f>IF(A45="","",'Risk Register'!Q45)</x:f>
      </x:c>
      <x:c r="E45" s="14" t="str">
        <x:f>IF(A45="","",'Risk Register'!S45)</x:f>
      </x:c>
      <x:c r="F45" s="14" t="str">
        <x:f>IF(A45="","",'Risk Register'!T45)</x:f>
      </x:c>
      <x:c r="G45" s="83" t="str">
        <x:f>IF(A45="","",IF(ISNUMBER('Risk Register'!U45),IF('Risk Register'!U45&gt;0,'Risk Register'!U45,""),""))</x:f>
      </x:c>
      <x:c r="H45" s="14" t="str">
        <x:f>IF(A45="","",IF(OR(F45="Closed",F45="Accepted"),"",IF(ISNUMBER('Risk Register'!U45),IF('Risk Register'!U45&gt;0,'Risk Register'!U45-TODAY(),""),"")))</x:f>
      </x:c>
      <x:c r="I45" s="14" t="str">
        <x:f>IF(A45="","",'Risk Register'!R45)</x:f>
      </x:c>
      <x:c r="J45" s="14" t="str">
        <x:f>IF(A45="","",'Risk Register'!X45)</x:f>
      </x:c>
      <x:c r="K45" s="96" t="str">
        <x:f>IF(A45="","",IF('Risk Register'!Y45="","",'Risk Register'!Y45))</x:f>
      </x:c>
      <x:c r="L45" s="96" t="str">
        <x:f>IF(A45="","",IF('Risk Register'!Z45="","",'Risk Register'!Z45))</x:f>
      </x:c>
      <x:c r="M45" s="96" t="str">
        <x:f>IF(A45="","",IF('Risk Register'!AA45="","",'Risk Register'!AA45))</x:f>
      </x:c>
      <x:c r="N45" s="98" t="str">
        <x:f>IF(A45="","",IF('Risk Register'!AB45="","",'Risk Register'!AB45))</x:f>
      </x:c>
      <x:c r="O45" s="96" t="str">
        <x:f>IF(A45="","",IF('Risk Register'!AC45="","",'Risk Register'!AC45))</x:f>
      </x:c>
      <x:c r="P45" s="96" t="str">
        <x:f>IF(A45="","",'Risk Register'!AD45)</x:f>
      </x:c>
      <x:c r="Q45" s="96" t="str">
        <x:f>IF(A45="","",'Risk Register'!AE45)</x:f>
      </x:c>
    </x:row>
    <x:row r="46" ht="36" customHeight="1">
      <x:c r="A46" s="14" t="str">
        <x:f>IF('Risk Register'!A46="","",'Risk Register'!A46)</x:f>
      </x:c>
      <x:c r="B46" s="14" t="str">
        <x:f>IF(A46="","",'Risk Register'!D46)</x:f>
      </x:c>
      <x:c r="C46" s="14" t="str">
        <x:f>IF(A46="","",'Risk Register'!P46)</x:f>
      </x:c>
      <x:c r="D46" s="14" t="str">
        <x:f>IF(A46="","",'Risk Register'!Q46)</x:f>
      </x:c>
      <x:c r="E46" s="14" t="str">
        <x:f>IF(A46="","",'Risk Register'!S46)</x:f>
      </x:c>
      <x:c r="F46" s="14" t="str">
        <x:f>IF(A46="","",'Risk Register'!T46)</x:f>
      </x:c>
      <x:c r="G46" s="83" t="str">
        <x:f>IF(A46="","",IF(ISNUMBER('Risk Register'!U46),IF('Risk Register'!U46&gt;0,'Risk Register'!U46,""),""))</x:f>
      </x:c>
      <x:c r="H46" s="14" t="str">
        <x:f>IF(A46="","",IF(OR(F46="Closed",F46="Accepted"),"",IF(ISNUMBER('Risk Register'!U46),IF('Risk Register'!U46&gt;0,'Risk Register'!U46-TODAY(),""),"")))</x:f>
      </x:c>
      <x:c r="I46" s="14" t="str">
        <x:f>IF(A46="","",'Risk Register'!R46)</x:f>
      </x:c>
      <x:c r="J46" s="14" t="str">
        <x:f>IF(A46="","",'Risk Register'!X46)</x:f>
      </x:c>
      <x:c r="K46" s="96" t="str">
        <x:f>IF(A46="","",IF('Risk Register'!Y46="","",'Risk Register'!Y46))</x:f>
      </x:c>
      <x:c r="L46" s="96" t="str">
        <x:f>IF(A46="","",IF('Risk Register'!Z46="","",'Risk Register'!Z46))</x:f>
      </x:c>
      <x:c r="M46" s="96" t="str">
        <x:f>IF(A46="","",IF('Risk Register'!AA46="","",'Risk Register'!AA46))</x:f>
      </x:c>
      <x:c r="N46" s="98" t="str">
        <x:f>IF(A46="","",IF('Risk Register'!AB46="","",'Risk Register'!AB46))</x:f>
      </x:c>
      <x:c r="O46" s="96" t="str">
        <x:f>IF(A46="","",IF('Risk Register'!AC46="","",'Risk Register'!AC46))</x:f>
      </x:c>
      <x:c r="P46" s="96" t="str">
        <x:f>IF(A46="","",'Risk Register'!AD46)</x:f>
      </x:c>
      <x:c r="Q46" s="96" t="str">
        <x:f>IF(A46="","",'Risk Register'!AE46)</x:f>
      </x:c>
    </x:row>
    <x:row r="47" ht="36" customHeight="1">
      <x:c r="A47" s="14" t="str">
        <x:f>IF('Risk Register'!A47="","",'Risk Register'!A47)</x:f>
      </x:c>
      <x:c r="B47" s="14" t="str">
        <x:f>IF(A47="","",'Risk Register'!D47)</x:f>
      </x:c>
      <x:c r="C47" s="14" t="str">
        <x:f>IF(A47="","",'Risk Register'!P47)</x:f>
      </x:c>
      <x:c r="D47" s="14" t="str">
        <x:f>IF(A47="","",'Risk Register'!Q47)</x:f>
      </x:c>
      <x:c r="E47" s="14" t="str">
        <x:f>IF(A47="","",'Risk Register'!S47)</x:f>
      </x:c>
      <x:c r="F47" s="14" t="str">
        <x:f>IF(A47="","",'Risk Register'!T47)</x:f>
      </x:c>
      <x:c r="G47" s="83" t="str">
        <x:f>IF(A47="","",IF(ISNUMBER('Risk Register'!U47),IF('Risk Register'!U47&gt;0,'Risk Register'!U47,""),""))</x:f>
      </x:c>
      <x:c r="H47" s="14" t="str">
        <x:f>IF(A47="","",IF(OR(F47="Closed",F47="Accepted"),"",IF(ISNUMBER('Risk Register'!U47),IF('Risk Register'!U47&gt;0,'Risk Register'!U47-TODAY(),""),"")))</x:f>
      </x:c>
      <x:c r="I47" s="14" t="str">
        <x:f>IF(A47="","",'Risk Register'!R47)</x:f>
      </x:c>
      <x:c r="J47" s="14" t="str">
        <x:f>IF(A47="","",'Risk Register'!X47)</x:f>
      </x:c>
      <x:c r="K47" s="96" t="str">
        <x:f>IF(A47="","",IF('Risk Register'!Y47="","",'Risk Register'!Y47))</x:f>
      </x:c>
      <x:c r="L47" s="96" t="str">
        <x:f>IF(A47="","",IF('Risk Register'!Z47="","",'Risk Register'!Z47))</x:f>
      </x:c>
      <x:c r="M47" s="96" t="str">
        <x:f>IF(A47="","",IF('Risk Register'!AA47="","",'Risk Register'!AA47))</x:f>
      </x:c>
      <x:c r="N47" s="98" t="str">
        <x:f>IF(A47="","",IF('Risk Register'!AB47="","",'Risk Register'!AB47))</x:f>
      </x:c>
      <x:c r="O47" s="96" t="str">
        <x:f>IF(A47="","",IF('Risk Register'!AC47="","",'Risk Register'!AC47))</x:f>
      </x:c>
      <x:c r="P47" s="96" t="str">
        <x:f>IF(A47="","",'Risk Register'!AD47)</x:f>
      </x:c>
      <x:c r="Q47" s="96" t="str">
        <x:f>IF(A47="","",'Risk Register'!AE47)</x:f>
      </x:c>
    </x:row>
    <x:row r="48" ht="36" customHeight="1">
      <x:c r="A48" s="14" t="str">
        <x:f>IF('Risk Register'!A48="","",'Risk Register'!A48)</x:f>
      </x:c>
      <x:c r="B48" s="14" t="str">
        <x:f>IF(A48="","",'Risk Register'!D48)</x:f>
      </x:c>
      <x:c r="C48" s="14" t="str">
        <x:f>IF(A48="","",'Risk Register'!P48)</x:f>
      </x:c>
      <x:c r="D48" s="14" t="str">
        <x:f>IF(A48="","",'Risk Register'!Q48)</x:f>
      </x:c>
      <x:c r="E48" s="14" t="str">
        <x:f>IF(A48="","",'Risk Register'!S48)</x:f>
      </x:c>
      <x:c r="F48" s="14" t="str">
        <x:f>IF(A48="","",'Risk Register'!T48)</x:f>
      </x:c>
      <x:c r="G48" s="83" t="str">
        <x:f>IF(A48="","",IF(ISNUMBER('Risk Register'!U48),IF('Risk Register'!U48&gt;0,'Risk Register'!U48,""),""))</x:f>
      </x:c>
      <x:c r="H48" s="14" t="str">
        <x:f>IF(A48="","",IF(OR(F48="Closed",F48="Accepted"),"",IF(ISNUMBER('Risk Register'!U48),IF('Risk Register'!U48&gt;0,'Risk Register'!U48-TODAY(),""),"")))</x:f>
      </x:c>
      <x:c r="I48" s="14" t="str">
        <x:f>IF(A48="","",'Risk Register'!R48)</x:f>
      </x:c>
      <x:c r="J48" s="14" t="str">
        <x:f>IF(A48="","",'Risk Register'!X48)</x:f>
      </x:c>
      <x:c r="K48" s="96" t="str">
        <x:f>IF(A48="","",IF('Risk Register'!Y48="","",'Risk Register'!Y48))</x:f>
      </x:c>
      <x:c r="L48" s="96" t="str">
        <x:f>IF(A48="","",IF('Risk Register'!Z48="","",'Risk Register'!Z48))</x:f>
      </x:c>
      <x:c r="M48" s="96" t="str">
        <x:f>IF(A48="","",IF('Risk Register'!AA48="","",'Risk Register'!AA48))</x:f>
      </x:c>
      <x:c r="N48" s="98" t="str">
        <x:f>IF(A48="","",IF('Risk Register'!AB48="","",'Risk Register'!AB48))</x:f>
      </x:c>
      <x:c r="O48" s="96" t="str">
        <x:f>IF(A48="","",IF('Risk Register'!AC48="","",'Risk Register'!AC48))</x:f>
      </x:c>
      <x:c r="P48" s="96" t="str">
        <x:f>IF(A48="","",'Risk Register'!AD48)</x:f>
      </x:c>
      <x:c r="Q48" s="96" t="str">
        <x:f>IF(A48="","",'Risk Register'!AE48)</x:f>
      </x:c>
    </x:row>
    <x:row r="49" ht="36" customHeight="1">
      <x:c r="A49" s="14" t="str">
        <x:f>IF('Risk Register'!A49="","",'Risk Register'!A49)</x:f>
      </x:c>
      <x:c r="B49" s="14" t="str">
        <x:f>IF(A49="","",'Risk Register'!D49)</x:f>
      </x:c>
      <x:c r="C49" s="14" t="str">
        <x:f>IF(A49="","",'Risk Register'!P49)</x:f>
      </x:c>
      <x:c r="D49" s="14" t="str">
        <x:f>IF(A49="","",'Risk Register'!Q49)</x:f>
      </x:c>
      <x:c r="E49" s="14" t="str">
        <x:f>IF(A49="","",'Risk Register'!S49)</x:f>
      </x:c>
      <x:c r="F49" s="14" t="str">
        <x:f>IF(A49="","",'Risk Register'!T49)</x:f>
      </x:c>
      <x:c r="G49" s="83" t="str">
        <x:f>IF(A49="","",IF(ISNUMBER('Risk Register'!U49),IF('Risk Register'!U49&gt;0,'Risk Register'!U49,""),""))</x:f>
      </x:c>
      <x:c r="H49" s="14" t="str">
        <x:f>IF(A49="","",IF(OR(F49="Closed",F49="Accepted"),"",IF(ISNUMBER('Risk Register'!U49),IF('Risk Register'!U49&gt;0,'Risk Register'!U49-TODAY(),""),"")))</x:f>
      </x:c>
      <x:c r="I49" s="14" t="str">
        <x:f>IF(A49="","",'Risk Register'!R49)</x:f>
      </x:c>
      <x:c r="J49" s="14" t="str">
        <x:f>IF(A49="","",'Risk Register'!X49)</x:f>
      </x:c>
      <x:c r="K49" s="96" t="str">
        <x:f>IF(A49="","",IF('Risk Register'!Y49="","",'Risk Register'!Y49))</x:f>
      </x:c>
      <x:c r="L49" s="96" t="str">
        <x:f>IF(A49="","",IF('Risk Register'!Z49="","",'Risk Register'!Z49))</x:f>
      </x:c>
      <x:c r="M49" s="96" t="str">
        <x:f>IF(A49="","",IF('Risk Register'!AA49="","",'Risk Register'!AA49))</x:f>
      </x:c>
      <x:c r="N49" s="98" t="str">
        <x:f>IF(A49="","",IF('Risk Register'!AB49="","",'Risk Register'!AB49))</x:f>
      </x:c>
      <x:c r="O49" s="96" t="str">
        <x:f>IF(A49="","",IF('Risk Register'!AC49="","",'Risk Register'!AC49))</x:f>
      </x:c>
      <x:c r="P49" s="96" t="str">
        <x:f>IF(A49="","",'Risk Register'!AD49)</x:f>
      </x:c>
      <x:c r="Q49" s="96" t="str">
        <x:f>IF(A49="","",'Risk Register'!AE49)</x:f>
      </x:c>
    </x:row>
    <x:row r="50" ht="36" customHeight="1">
      <x:c r="A50" s="14" t="str">
        <x:f>IF('Risk Register'!A50="","",'Risk Register'!A50)</x:f>
      </x:c>
      <x:c r="B50" s="14" t="str">
        <x:f>IF(A50="","",'Risk Register'!D50)</x:f>
      </x:c>
      <x:c r="C50" s="14" t="str">
        <x:f>IF(A50="","",'Risk Register'!P50)</x:f>
      </x:c>
      <x:c r="D50" s="14" t="str">
        <x:f>IF(A50="","",'Risk Register'!Q50)</x:f>
      </x:c>
      <x:c r="E50" s="14" t="str">
        <x:f>IF(A50="","",'Risk Register'!S50)</x:f>
      </x:c>
      <x:c r="F50" s="14" t="str">
        <x:f>IF(A50="","",'Risk Register'!T50)</x:f>
      </x:c>
      <x:c r="G50" s="83" t="str">
        <x:f>IF(A50="","",IF(ISNUMBER('Risk Register'!U50),IF('Risk Register'!U50&gt;0,'Risk Register'!U50,""),""))</x:f>
      </x:c>
      <x:c r="H50" s="14" t="str">
        <x:f>IF(A50="","",IF(OR(F50="Closed",F50="Accepted"),"",IF(ISNUMBER('Risk Register'!U50),IF('Risk Register'!U50&gt;0,'Risk Register'!U50-TODAY(),""),"")))</x:f>
      </x:c>
      <x:c r="I50" s="14" t="str">
        <x:f>IF(A50="","",'Risk Register'!R50)</x:f>
      </x:c>
      <x:c r="J50" s="14" t="str">
        <x:f>IF(A50="","",'Risk Register'!X50)</x:f>
      </x:c>
      <x:c r="K50" s="96" t="str">
        <x:f>IF(A50="","",IF('Risk Register'!Y50="","",'Risk Register'!Y50))</x:f>
      </x:c>
      <x:c r="L50" s="96" t="str">
        <x:f>IF(A50="","",IF('Risk Register'!Z50="","",'Risk Register'!Z50))</x:f>
      </x:c>
      <x:c r="M50" s="96" t="str">
        <x:f>IF(A50="","",IF('Risk Register'!AA50="","",'Risk Register'!AA50))</x:f>
      </x:c>
      <x:c r="N50" s="98" t="str">
        <x:f>IF(A50="","",IF('Risk Register'!AB50="","",'Risk Register'!AB50))</x:f>
      </x:c>
      <x:c r="O50" s="96" t="str">
        <x:f>IF(A50="","",IF('Risk Register'!AC50="","",'Risk Register'!AC50))</x:f>
      </x:c>
      <x:c r="P50" s="96" t="str">
        <x:f>IF(A50="","",'Risk Register'!AD50)</x:f>
      </x:c>
      <x:c r="Q50" s="96" t="str">
        <x:f>IF(A50="","",'Risk Register'!AE50)</x:f>
      </x:c>
    </x:row>
    <x:row r="51" ht="36" customHeight="1">
      <x:c r="A51" s="14" t="str">
        <x:f>IF('Risk Register'!A51="","",'Risk Register'!A51)</x:f>
      </x:c>
      <x:c r="B51" s="14" t="str">
        <x:f>IF(A51="","",'Risk Register'!D51)</x:f>
      </x:c>
      <x:c r="C51" s="14" t="str">
        <x:f>IF(A51="","",'Risk Register'!P51)</x:f>
      </x:c>
      <x:c r="D51" s="14" t="str">
        <x:f>IF(A51="","",'Risk Register'!Q51)</x:f>
      </x:c>
      <x:c r="E51" s="14" t="str">
        <x:f>IF(A51="","",'Risk Register'!S51)</x:f>
      </x:c>
      <x:c r="F51" s="14" t="str">
        <x:f>IF(A51="","",'Risk Register'!T51)</x:f>
      </x:c>
      <x:c r="G51" s="83" t="str">
        <x:f>IF(A51="","",IF(ISNUMBER('Risk Register'!U51),IF('Risk Register'!U51&gt;0,'Risk Register'!U51,""),""))</x:f>
      </x:c>
      <x:c r="H51" s="14" t="str">
        <x:f>IF(A51="","",IF(OR(F51="Closed",F51="Accepted"),"",IF(ISNUMBER('Risk Register'!U51),IF('Risk Register'!U51&gt;0,'Risk Register'!U51-TODAY(),""),"")))</x:f>
      </x:c>
      <x:c r="I51" s="14" t="str">
        <x:f>IF(A51="","",'Risk Register'!R51)</x:f>
      </x:c>
      <x:c r="J51" s="14" t="str">
        <x:f>IF(A51="","",'Risk Register'!X51)</x:f>
      </x:c>
      <x:c r="K51" s="96" t="str">
        <x:f>IF(A51="","",IF('Risk Register'!Y51="","",'Risk Register'!Y51))</x:f>
      </x:c>
      <x:c r="L51" s="96" t="str">
        <x:f>IF(A51="","",IF('Risk Register'!Z51="","",'Risk Register'!Z51))</x:f>
      </x:c>
      <x:c r="M51" s="96" t="str">
        <x:f>IF(A51="","",IF('Risk Register'!AA51="","",'Risk Register'!AA51))</x:f>
      </x:c>
      <x:c r="N51" s="98" t="str">
        <x:f>IF(A51="","",IF('Risk Register'!AB51="","",'Risk Register'!AB51))</x:f>
      </x:c>
      <x:c r="O51" s="96" t="str">
        <x:f>IF(A51="","",IF('Risk Register'!AC51="","",'Risk Register'!AC51))</x:f>
      </x:c>
      <x:c r="P51" s="96" t="str">
        <x:f>IF(A51="","",'Risk Register'!AD51)</x:f>
      </x:c>
      <x:c r="Q51" s="96" t="str">
        <x:f>IF(A51="","",'Risk Register'!AE51)</x:f>
      </x:c>
    </x:row>
    <x:row r="52" ht="36" customHeight="1">
      <x:c r="A52" s="14" t="str">
        <x:f>IF('Risk Register'!A52="","",'Risk Register'!A52)</x:f>
      </x:c>
      <x:c r="B52" s="14" t="str">
        <x:f>IF(A52="","",'Risk Register'!D52)</x:f>
      </x:c>
      <x:c r="C52" s="14" t="str">
        <x:f>IF(A52="","",'Risk Register'!P52)</x:f>
      </x:c>
      <x:c r="D52" s="14" t="str">
        <x:f>IF(A52="","",'Risk Register'!Q52)</x:f>
      </x:c>
      <x:c r="E52" s="14" t="str">
        <x:f>IF(A52="","",'Risk Register'!S52)</x:f>
      </x:c>
      <x:c r="F52" s="14" t="str">
        <x:f>IF(A52="","",'Risk Register'!T52)</x:f>
      </x:c>
      <x:c r="G52" s="83" t="str">
        <x:f>IF(A52="","",IF(ISNUMBER('Risk Register'!U52),IF('Risk Register'!U52&gt;0,'Risk Register'!U52,""),""))</x:f>
      </x:c>
      <x:c r="H52" s="14" t="str">
        <x:f>IF(A52="","",IF(OR(F52="Closed",F52="Accepted"),"",IF(ISNUMBER('Risk Register'!U52),IF('Risk Register'!U52&gt;0,'Risk Register'!U52-TODAY(),""),"")))</x:f>
      </x:c>
      <x:c r="I52" s="14" t="str">
        <x:f>IF(A52="","",'Risk Register'!R52)</x:f>
      </x:c>
      <x:c r="J52" s="14" t="str">
        <x:f>IF(A52="","",'Risk Register'!X52)</x:f>
      </x:c>
      <x:c r="K52" s="96" t="str">
        <x:f>IF(A52="","",IF('Risk Register'!Y52="","",'Risk Register'!Y52))</x:f>
      </x:c>
      <x:c r="L52" s="96" t="str">
        <x:f>IF(A52="","",IF('Risk Register'!Z52="","",'Risk Register'!Z52))</x:f>
      </x:c>
      <x:c r="M52" s="96" t="str">
        <x:f>IF(A52="","",IF('Risk Register'!AA52="","",'Risk Register'!AA52))</x:f>
      </x:c>
      <x:c r="N52" s="98" t="str">
        <x:f>IF(A52="","",IF('Risk Register'!AB52="","",'Risk Register'!AB52))</x:f>
      </x:c>
      <x:c r="O52" s="96" t="str">
        <x:f>IF(A52="","",IF('Risk Register'!AC52="","",'Risk Register'!AC52))</x:f>
      </x:c>
      <x:c r="P52" s="96" t="str">
        <x:f>IF(A52="","",'Risk Register'!AD52)</x:f>
      </x:c>
      <x:c r="Q52" s="96" t="str">
        <x:f>IF(A52="","",'Risk Register'!AE52)</x:f>
      </x:c>
    </x:row>
    <x:row r="53" ht="36" customHeight="1">
      <x:c r="A53" s="14" t="str">
        <x:f>IF('Risk Register'!A53="","",'Risk Register'!A53)</x:f>
      </x:c>
      <x:c r="B53" s="14" t="str">
        <x:f>IF(A53="","",'Risk Register'!D53)</x:f>
      </x:c>
      <x:c r="C53" s="14" t="str">
        <x:f>IF(A53="","",'Risk Register'!P53)</x:f>
      </x:c>
      <x:c r="D53" s="14" t="str">
        <x:f>IF(A53="","",'Risk Register'!Q53)</x:f>
      </x:c>
      <x:c r="E53" s="14" t="str">
        <x:f>IF(A53="","",'Risk Register'!S53)</x:f>
      </x:c>
      <x:c r="F53" s="14" t="str">
        <x:f>IF(A53="","",'Risk Register'!T53)</x:f>
      </x:c>
      <x:c r="G53" s="83" t="str">
        <x:f>IF(A53="","",IF(ISNUMBER('Risk Register'!U53),IF('Risk Register'!U53&gt;0,'Risk Register'!U53,""),""))</x:f>
      </x:c>
      <x:c r="H53" s="14" t="str">
        <x:f>IF(A53="","",IF(OR(F53="Closed",F53="Accepted"),"",IF(ISNUMBER('Risk Register'!U53),IF('Risk Register'!U53&gt;0,'Risk Register'!U53-TODAY(),""),"")))</x:f>
      </x:c>
      <x:c r="I53" s="14" t="str">
        <x:f>IF(A53="","",'Risk Register'!R53)</x:f>
      </x:c>
      <x:c r="J53" s="14" t="str">
        <x:f>IF(A53="","",'Risk Register'!X53)</x:f>
      </x:c>
      <x:c r="K53" s="96" t="str">
        <x:f>IF(A53="","",IF('Risk Register'!Y53="","",'Risk Register'!Y53))</x:f>
      </x:c>
      <x:c r="L53" s="96" t="str">
        <x:f>IF(A53="","",IF('Risk Register'!Z53="","",'Risk Register'!Z53))</x:f>
      </x:c>
      <x:c r="M53" s="96" t="str">
        <x:f>IF(A53="","",IF('Risk Register'!AA53="","",'Risk Register'!AA53))</x:f>
      </x:c>
      <x:c r="N53" s="98" t="str">
        <x:f>IF(A53="","",IF('Risk Register'!AB53="","",'Risk Register'!AB53))</x:f>
      </x:c>
      <x:c r="O53" s="96" t="str">
        <x:f>IF(A53="","",IF('Risk Register'!AC53="","",'Risk Register'!AC53))</x:f>
      </x:c>
      <x:c r="P53" s="96" t="str">
        <x:f>IF(A53="","",'Risk Register'!AD53)</x:f>
      </x:c>
      <x:c r="Q53" s="96" t="str">
        <x:f>IF(A53="","",'Risk Register'!AE53)</x:f>
      </x:c>
    </x:row>
    <x:row r="54" ht="36" customHeight="1">
      <x:c r="A54" s="14" t="str">
        <x:f>IF('Risk Register'!A54="","",'Risk Register'!A54)</x:f>
      </x:c>
      <x:c r="B54" s="14" t="str">
        <x:f>IF(A54="","",'Risk Register'!D54)</x:f>
      </x:c>
      <x:c r="C54" s="14" t="str">
        <x:f>IF(A54="","",'Risk Register'!P54)</x:f>
      </x:c>
      <x:c r="D54" s="14" t="str">
        <x:f>IF(A54="","",'Risk Register'!Q54)</x:f>
      </x:c>
      <x:c r="E54" s="14" t="str">
        <x:f>IF(A54="","",'Risk Register'!S54)</x:f>
      </x:c>
      <x:c r="F54" s="14" t="str">
        <x:f>IF(A54="","",'Risk Register'!T54)</x:f>
      </x:c>
      <x:c r="G54" s="83" t="str">
        <x:f>IF(A54="","",IF(ISNUMBER('Risk Register'!U54),IF('Risk Register'!U54&gt;0,'Risk Register'!U54,""),""))</x:f>
      </x:c>
      <x:c r="H54" s="14" t="str">
        <x:f>IF(A54="","",IF(OR(F54="Closed",F54="Accepted"),"",IF(ISNUMBER('Risk Register'!U54),IF('Risk Register'!U54&gt;0,'Risk Register'!U54-TODAY(),""),"")))</x:f>
      </x:c>
      <x:c r="I54" s="14" t="str">
        <x:f>IF(A54="","",'Risk Register'!R54)</x:f>
      </x:c>
      <x:c r="J54" s="14" t="str">
        <x:f>IF(A54="","",'Risk Register'!X54)</x:f>
      </x:c>
      <x:c r="K54" s="96" t="str">
        <x:f>IF(A54="","",IF('Risk Register'!Y54="","",'Risk Register'!Y54))</x:f>
      </x:c>
      <x:c r="L54" s="96" t="str">
        <x:f>IF(A54="","",IF('Risk Register'!Z54="","",'Risk Register'!Z54))</x:f>
      </x:c>
      <x:c r="M54" s="96" t="str">
        <x:f>IF(A54="","",IF('Risk Register'!AA54="","",'Risk Register'!AA54))</x:f>
      </x:c>
      <x:c r="N54" s="98" t="str">
        <x:f>IF(A54="","",IF('Risk Register'!AB54="","",'Risk Register'!AB54))</x:f>
      </x:c>
      <x:c r="O54" s="96" t="str">
        <x:f>IF(A54="","",IF('Risk Register'!AC54="","",'Risk Register'!AC54))</x:f>
      </x:c>
      <x:c r="P54" s="96" t="str">
        <x:f>IF(A54="","",'Risk Register'!AD54)</x:f>
      </x:c>
      <x:c r="Q54" s="96" t="str">
        <x:f>IF(A54="","",'Risk Register'!AE54)</x:f>
      </x:c>
    </x:row>
    <x:row r="55" ht="36" customHeight="1">
      <x:c r="A55" s="14" t="str">
        <x:f>IF('Risk Register'!A55="","",'Risk Register'!A55)</x:f>
      </x:c>
      <x:c r="B55" s="14" t="str">
        <x:f>IF(A55="","",'Risk Register'!D55)</x:f>
      </x:c>
      <x:c r="C55" s="14" t="str">
        <x:f>IF(A55="","",'Risk Register'!P55)</x:f>
      </x:c>
      <x:c r="D55" s="14" t="str">
        <x:f>IF(A55="","",'Risk Register'!Q55)</x:f>
      </x:c>
      <x:c r="E55" s="14" t="str">
        <x:f>IF(A55="","",'Risk Register'!S55)</x:f>
      </x:c>
      <x:c r="F55" s="14" t="str">
        <x:f>IF(A55="","",'Risk Register'!T55)</x:f>
      </x:c>
      <x:c r="G55" s="83" t="str">
        <x:f>IF(A55="","",IF(ISNUMBER('Risk Register'!U55),IF('Risk Register'!U55&gt;0,'Risk Register'!U55,""),""))</x:f>
      </x:c>
      <x:c r="H55" s="14" t="str">
        <x:f>IF(A55="","",IF(OR(F55="Closed",F55="Accepted"),"",IF(ISNUMBER('Risk Register'!U55),IF('Risk Register'!U55&gt;0,'Risk Register'!U55-TODAY(),""),"")))</x:f>
      </x:c>
      <x:c r="I55" s="14" t="str">
        <x:f>IF(A55="","",'Risk Register'!R55)</x:f>
      </x:c>
      <x:c r="J55" s="14" t="str">
        <x:f>IF(A55="","",'Risk Register'!X55)</x:f>
      </x:c>
      <x:c r="K55" s="96" t="str">
        <x:f>IF(A55="","",IF('Risk Register'!Y55="","",'Risk Register'!Y55))</x:f>
      </x:c>
      <x:c r="L55" s="96" t="str">
        <x:f>IF(A55="","",IF('Risk Register'!Z55="","",'Risk Register'!Z55))</x:f>
      </x:c>
      <x:c r="M55" s="96" t="str">
        <x:f>IF(A55="","",IF('Risk Register'!AA55="","",'Risk Register'!AA55))</x:f>
      </x:c>
      <x:c r="N55" s="98" t="str">
        <x:f>IF(A55="","",IF('Risk Register'!AB55="","",'Risk Register'!AB55))</x:f>
      </x:c>
      <x:c r="O55" s="96" t="str">
        <x:f>IF(A55="","",IF('Risk Register'!AC55="","",'Risk Register'!AC55))</x:f>
      </x:c>
      <x:c r="P55" s="96" t="str">
        <x:f>IF(A55="","",'Risk Register'!AD55)</x:f>
      </x:c>
      <x:c r="Q55" s="96" t="str">
        <x:f>IF(A55="","",'Risk Register'!AE55)</x:f>
      </x:c>
    </x:row>
    <x:row r="56" ht="36" customHeight="1">
      <x:c r="A56" s="14" t="str">
        <x:f>IF('Risk Register'!A56="","",'Risk Register'!A56)</x:f>
      </x:c>
      <x:c r="B56" s="14" t="str">
        <x:f>IF(A56="","",'Risk Register'!D56)</x:f>
      </x:c>
      <x:c r="C56" s="14" t="str">
        <x:f>IF(A56="","",'Risk Register'!P56)</x:f>
      </x:c>
      <x:c r="D56" s="14" t="str">
        <x:f>IF(A56="","",'Risk Register'!Q56)</x:f>
      </x:c>
      <x:c r="E56" s="14" t="str">
        <x:f>IF(A56="","",'Risk Register'!S56)</x:f>
      </x:c>
      <x:c r="F56" s="14" t="str">
        <x:f>IF(A56="","",'Risk Register'!T56)</x:f>
      </x:c>
      <x:c r="G56" s="83" t="str">
        <x:f>IF(A56="","",IF(ISNUMBER('Risk Register'!U56),IF('Risk Register'!U56&gt;0,'Risk Register'!U56,""),""))</x:f>
      </x:c>
      <x:c r="H56" s="14" t="str">
        <x:f>IF(A56="","",IF(OR(F56="Closed",F56="Accepted"),"",IF(ISNUMBER('Risk Register'!U56),IF('Risk Register'!U56&gt;0,'Risk Register'!U56-TODAY(),""),"")))</x:f>
      </x:c>
      <x:c r="I56" s="14" t="str">
        <x:f>IF(A56="","",'Risk Register'!R56)</x:f>
      </x:c>
      <x:c r="J56" s="14" t="str">
        <x:f>IF(A56="","",'Risk Register'!X56)</x:f>
      </x:c>
      <x:c r="K56" s="96" t="str">
        <x:f>IF(A56="","",IF('Risk Register'!Y56="","",'Risk Register'!Y56))</x:f>
      </x:c>
      <x:c r="L56" s="96" t="str">
        <x:f>IF(A56="","",IF('Risk Register'!Z56="","",'Risk Register'!Z56))</x:f>
      </x:c>
      <x:c r="M56" s="96" t="str">
        <x:f>IF(A56="","",IF('Risk Register'!AA56="","",'Risk Register'!AA56))</x:f>
      </x:c>
      <x:c r="N56" s="98" t="str">
        <x:f>IF(A56="","",IF('Risk Register'!AB56="","",'Risk Register'!AB56))</x:f>
      </x:c>
      <x:c r="O56" s="96" t="str">
        <x:f>IF(A56="","",IF('Risk Register'!AC56="","",'Risk Register'!AC56))</x:f>
      </x:c>
      <x:c r="P56" s="96" t="str">
        <x:f>IF(A56="","",'Risk Register'!AD56)</x:f>
      </x:c>
      <x:c r="Q56" s="96" t="str">
        <x:f>IF(A56="","",'Risk Register'!AE56)</x:f>
      </x:c>
    </x:row>
    <x:row r="57" ht="36" customHeight="1">
      <x:c r="A57" s="14" t="str">
        <x:f>IF('Risk Register'!A57="","",'Risk Register'!A57)</x:f>
      </x:c>
      <x:c r="B57" s="14" t="str">
        <x:f>IF(A57="","",'Risk Register'!D57)</x:f>
      </x:c>
      <x:c r="C57" s="14" t="str">
        <x:f>IF(A57="","",'Risk Register'!P57)</x:f>
      </x:c>
      <x:c r="D57" s="14" t="str">
        <x:f>IF(A57="","",'Risk Register'!Q57)</x:f>
      </x:c>
      <x:c r="E57" s="14" t="str">
        <x:f>IF(A57="","",'Risk Register'!S57)</x:f>
      </x:c>
      <x:c r="F57" s="14" t="str">
        <x:f>IF(A57="","",'Risk Register'!T57)</x:f>
      </x:c>
      <x:c r="G57" s="83" t="str">
        <x:f>IF(A57="","",IF(ISNUMBER('Risk Register'!U57),IF('Risk Register'!U57&gt;0,'Risk Register'!U57,""),""))</x:f>
      </x:c>
      <x:c r="H57" s="14" t="str">
        <x:f>IF(A57="","",IF(OR(F57="Closed",F57="Accepted"),"",IF(ISNUMBER('Risk Register'!U57),IF('Risk Register'!U57&gt;0,'Risk Register'!U57-TODAY(),""),"")))</x:f>
      </x:c>
      <x:c r="I57" s="14" t="str">
        <x:f>IF(A57="","",'Risk Register'!R57)</x:f>
      </x:c>
      <x:c r="J57" s="14" t="str">
        <x:f>IF(A57="","",'Risk Register'!X57)</x:f>
      </x:c>
      <x:c r="K57" s="96" t="str">
        <x:f>IF(A57="","",IF('Risk Register'!Y57="","",'Risk Register'!Y57))</x:f>
      </x:c>
      <x:c r="L57" s="96" t="str">
        <x:f>IF(A57="","",IF('Risk Register'!Z57="","",'Risk Register'!Z57))</x:f>
      </x:c>
      <x:c r="M57" s="96" t="str">
        <x:f>IF(A57="","",IF('Risk Register'!AA57="","",'Risk Register'!AA57))</x:f>
      </x:c>
      <x:c r="N57" s="98" t="str">
        <x:f>IF(A57="","",IF('Risk Register'!AB57="","",'Risk Register'!AB57))</x:f>
      </x:c>
      <x:c r="O57" s="96" t="str">
        <x:f>IF(A57="","",IF('Risk Register'!AC57="","",'Risk Register'!AC57))</x:f>
      </x:c>
      <x:c r="P57" s="96" t="str">
        <x:f>IF(A57="","",'Risk Register'!AD57)</x:f>
      </x:c>
      <x:c r="Q57" s="96" t="str">
        <x:f>IF(A57="","",'Risk Register'!AE57)</x:f>
      </x:c>
    </x:row>
    <x:row r="58" ht="36" customHeight="1">
      <x:c r="A58" s="14" t="str">
        <x:f>IF('Risk Register'!A58="","",'Risk Register'!A58)</x:f>
      </x:c>
      <x:c r="B58" s="14" t="str">
        <x:f>IF(A58="","",'Risk Register'!D58)</x:f>
      </x:c>
      <x:c r="C58" s="14" t="str">
        <x:f>IF(A58="","",'Risk Register'!P58)</x:f>
      </x:c>
      <x:c r="D58" s="14" t="str">
        <x:f>IF(A58="","",'Risk Register'!Q58)</x:f>
      </x:c>
      <x:c r="E58" s="14" t="str">
        <x:f>IF(A58="","",'Risk Register'!S58)</x:f>
      </x:c>
      <x:c r="F58" s="14" t="str">
        <x:f>IF(A58="","",'Risk Register'!T58)</x:f>
      </x:c>
      <x:c r="G58" s="83" t="str">
        <x:f>IF(A58="","",IF(ISNUMBER('Risk Register'!U58),IF('Risk Register'!U58&gt;0,'Risk Register'!U58,""),""))</x:f>
      </x:c>
      <x:c r="H58" s="14" t="str">
        <x:f>IF(A58="","",IF(OR(F58="Closed",F58="Accepted"),"",IF(ISNUMBER('Risk Register'!U58),IF('Risk Register'!U58&gt;0,'Risk Register'!U58-TODAY(),""),"")))</x:f>
      </x:c>
      <x:c r="I58" s="14" t="str">
        <x:f>IF(A58="","",'Risk Register'!R58)</x:f>
      </x:c>
      <x:c r="J58" s="14" t="str">
        <x:f>IF(A58="","",'Risk Register'!X58)</x:f>
      </x:c>
      <x:c r="K58" s="96" t="str">
        <x:f>IF(A58="","",IF('Risk Register'!Y58="","",'Risk Register'!Y58))</x:f>
      </x:c>
      <x:c r="L58" s="96" t="str">
        <x:f>IF(A58="","",IF('Risk Register'!Z58="","",'Risk Register'!Z58))</x:f>
      </x:c>
      <x:c r="M58" s="96" t="str">
        <x:f>IF(A58="","",IF('Risk Register'!AA58="","",'Risk Register'!AA58))</x:f>
      </x:c>
      <x:c r="N58" s="98" t="str">
        <x:f>IF(A58="","",IF('Risk Register'!AB58="","",'Risk Register'!AB58))</x:f>
      </x:c>
      <x:c r="O58" s="96" t="str">
        <x:f>IF(A58="","",IF('Risk Register'!AC58="","",'Risk Register'!AC58))</x:f>
      </x:c>
      <x:c r="P58" s="96" t="str">
        <x:f>IF(A58="","",'Risk Register'!AD58)</x:f>
      </x:c>
      <x:c r="Q58" s="96" t="str">
        <x:f>IF(A58="","",'Risk Register'!AE58)</x:f>
      </x:c>
    </x:row>
    <x:row r="59" ht="36" customHeight="1">
      <x:c r="A59" s="14" t="str">
        <x:f>IF('Risk Register'!A59="","",'Risk Register'!A59)</x:f>
      </x:c>
      <x:c r="B59" s="14" t="str">
        <x:f>IF(A59="","",'Risk Register'!D59)</x:f>
      </x:c>
      <x:c r="C59" s="14" t="str">
        <x:f>IF(A59="","",'Risk Register'!P59)</x:f>
      </x:c>
      <x:c r="D59" s="14" t="str">
        <x:f>IF(A59="","",'Risk Register'!Q59)</x:f>
      </x:c>
      <x:c r="E59" s="14" t="str">
        <x:f>IF(A59="","",'Risk Register'!S59)</x:f>
      </x:c>
      <x:c r="F59" s="14" t="str">
        <x:f>IF(A59="","",'Risk Register'!T59)</x:f>
      </x:c>
      <x:c r="G59" s="83" t="str">
        <x:f>IF(A59="","",IF(ISNUMBER('Risk Register'!U59),IF('Risk Register'!U59&gt;0,'Risk Register'!U59,""),""))</x:f>
      </x:c>
      <x:c r="H59" s="14" t="str">
        <x:f>IF(A59="","",IF(OR(F59="Closed",F59="Accepted"),"",IF(ISNUMBER('Risk Register'!U59),IF('Risk Register'!U59&gt;0,'Risk Register'!U59-TODAY(),""),"")))</x:f>
      </x:c>
      <x:c r="I59" s="14" t="str">
        <x:f>IF(A59="","",'Risk Register'!R59)</x:f>
      </x:c>
      <x:c r="J59" s="14" t="str">
        <x:f>IF(A59="","",'Risk Register'!X59)</x:f>
      </x:c>
      <x:c r="K59" s="96" t="str">
        <x:f>IF(A59="","",IF('Risk Register'!Y59="","",'Risk Register'!Y59))</x:f>
      </x:c>
      <x:c r="L59" s="96" t="str">
        <x:f>IF(A59="","",IF('Risk Register'!Z59="","",'Risk Register'!Z59))</x:f>
      </x:c>
      <x:c r="M59" s="96" t="str">
        <x:f>IF(A59="","",IF('Risk Register'!AA59="","",'Risk Register'!AA59))</x:f>
      </x:c>
      <x:c r="N59" s="98" t="str">
        <x:f>IF(A59="","",IF('Risk Register'!AB59="","",'Risk Register'!AB59))</x:f>
      </x:c>
      <x:c r="O59" s="96" t="str">
        <x:f>IF(A59="","",IF('Risk Register'!AC59="","",'Risk Register'!AC59))</x:f>
      </x:c>
      <x:c r="P59" s="96" t="str">
        <x:f>IF(A59="","",'Risk Register'!AD59)</x:f>
      </x:c>
      <x:c r="Q59" s="96" t="str">
        <x:f>IF(A59="","",'Risk Register'!AE59)</x:f>
      </x:c>
    </x:row>
    <x:row r="60" ht="36" customHeight="1">
      <x:c r="A60" s="14" t="str">
        <x:f>IF('Risk Register'!A60="","",'Risk Register'!A60)</x:f>
      </x:c>
      <x:c r="B60" s="14" t="str">
        <x:f>IF(A60="","",'Risk Register'!D60)</x:f>
      </x:c>
      <x:c r="C60" s="14" t="str">
        <x:f>IF(A60="","",'Risk Register'!P60)</x:f>
      </x:c>
      <x:c r="D60" s="14" t="str">
        <x:f>IF(A60="","",'Risk Register'!Q60)</x:f>
      </x:c>
      <x:c r="E60" s="14" t="str">
        <x:f>IF(A60="","",'Risk Register'!S60)</x:f>
      </x:c>
      <x:c r="F60" s="14" t="str">
        <x:f>IF(A60="","",'Risk Register'!T60)</x:f>
      </x:c>
      <x:c r="G60" s="83" t="str">
        <x:f>IF(A60="","",IF(ISNUMBER('Risk Register'!U60),IF('Risk Register'!U60&gt;0,'Risk Register'!U60,""),""))</x:f>
      </x:c>
      <x:c r="H60" s="14" t="str">
        <x:f>IF(A60="","",IF(OR(F60="Closed",F60="Accepted"),"",IF(ISNUMBER('Risk Register'!U60),IF('Risk Register'!U60&gt;0,'Risk Register'!U60-TODAY(),""),"")))</x:f>
      </x:c>
      <x:c r="I60" s="14" t="str">
        <x:f>IF(A60="","",'Risk Register'!R60)</x:f>
      </x:c>
      <x:c r="J60" s="14" t="str">
        <x:f>IF(A60="","",'Risk Register'!X60)</x:f>
      </x:c>
      <x:c r="K60" s="96" t="str">
        <x:f>IF(A60="","",IF('Risk Register'!Y60="","",'Risk Register'!Y60))</x:f>
      </x:c>
      <x:c r="L60" s="96" t="str">
        <x:f>IF(A60="","",IF('Risk Register'!Z60="","",'Risk Register'!Z60))</x:f>
      </x:c>
      <x:c r="M60" s="96" t="str">
        <x:f>IF(A60="","",IF('Risk Register'!AA60="","",'Risk Register'!AA60))</x:f>
      </x:c>
      <x:c r="N60" s="98" t="str">
        <x:f>IF(A60="","",IF('Risk Register'!AB60="","",'Risk Register'!AB60))</x:f>
      </x:c>
      <x:c r="O60" s="96" t="str">
        <x:f>IF(A60="","",IF('Risk Register'!AC60="","",'Risk Register'!AC60))</x:f>
      </x:c>
      <x:c r="P60" s="96" t="str">
        <x:f>IF(A60="","",'Risk Register'!AD60)</x:f>
      </x:c>
      <x:c r="Q60" s="96" t="str">
        <x:f>IF(A60="","",'Risk Register'!AE60)</x:f>
      </x:c>
    </x:row>
    <x:row r="61" ht="36" customHeight="1">
      <x:c r="A61" s="14" t="str">
        <x:f>IF('Risk Register'!A61="","",'Risk Register'!A61)</x:f>
      </x:c>
      <x:c r="B61" s="14" t="str">
        <x:f>IF(A61="","",'Risk Register'!D61)</x:f>
      </x:c>
      <x:c r="C61" s="14" t="str">
        <x:f>IF(A61="","",'Risk Register'!P61)</x:f>
      </x:c>
      <x:c r="D61" s="14" t="str">
        <x:f>IF(A61="","",'Risk Register'!Q61)</x:f>
      </x:c>
      <x:c r="E61" s="14" t="str">
        <x:f>IF(A61="","",'Risk Register'!S61)</x:f>
      </x:c>
      <x:c r="F61" s="14" t="str">
        <x:f>IF(A61="","",'Risk Register'!T61)</x:f>
      </x:c>
      <x:c r="G61" s="83" t="str">
        <x:f>IF(A61="","",IF(ISNUMBER('Risk Register'!U61),IF('Risk Register'!U61&gt;0,'Risk Register'!U61,""),""))</x:f>
      </x:c>
      <x:c r="H61" s="14" t="str">
        <x:f>IF(A61="","",IF(OR(F61="Closed",F61="Accepted"),"",IF(ISNUMBER('Risk Register'!U61),IF('Risk Register'!U61&gt;0,'Risk Register'!U61-TODAY(),""),"")))</x:f>
      </x:c>
      <x:c r="I61" s="14" t="str">
        <x:f>IF(A61="","",'Risk Register'!R61)</x:f>
      </x:c>
      <x:c r="J61" s="14" t="str">
        <x:f>IF(A61="","",'Risk Register'!X61)</x:f>
      </x:c>
      <x:c r="K61" s="96" t="str">
        <x:f>IF(A61="","",IF('Risk Register'!Y61="","",'Risk Register'!Y61))</x:f>
      </x:c>
      <x:c r="L61" s="96" t="str">
        <x:f>IF(A61="","",IF('Risk Register'!Z61="","",'Risk Register'!Z61))</x:f>
      </x:c>
      <x:c r="M61" s="96" t="str">
        <x:f>IF(A61="","",IF('Risk Register'!AA61="","",'Risk Register'!AA61))</x:f>
      </x:c>
      <x:c r="N61" s="98" t="str">
        <x:f>IF(A61="","",IF('Risk Register'!AB61="","",'Risk Register'!AB61))</x:f>
      </x:c>
      <x:c r="O61" s="96" t="str">
        <x:f>IF(A61="","",IF('Risk Register'!AC61="","",'Risk Register'!AC61))</x:f>
      </x:c>
      <x:c r="P61" s="96" t="str">
        <x:f>IF(A61="","",'Risk Register'!AD61)</x:f>
      </x:c>
      <x:c r="Q61" s="96" t="str">
        <x:f>IF(A61="","",'Risk Register'!AE61)</x:f>
      </x:c>
    </x:row>
    <x:row r="62" ht="36" customHeight="1">
      <x:c r="A62" s="14" t="str">
        <x:f>IF('Risk Register'!A62="","",'Risk Register'!A62)</x:f>
      </x:c>
      <x:c r="B62" s="14" t="str">
        <x:f>IF(A62="","",'Risk Register'!D62)</x:f>
      </x:c>
      <x:c r="C62" s="14" t="str">
        <x:f>IF(A62="","",'Risk Register'!P62)</x:f>
      </x:c>
      <x:c r="D62" s="14" t="str">
        <x:f>IF(A62="","",'Risk Register'!Q62)</x:f>
      </x:c>
      <x:c r="E62" s="14" t="str">
        <x:f>IF(A62="","",'Risk Register'!S62)</x:f>
      </x:c>
      <x:c r="F62" s="14" t="str">
        <x:f>IF(A62="","",'Risk Register'!T62)</x:f>
      </x:c>
      <x:c r="G62" s="83" t="str">
        <x:f>IF(A62="","",IF(ISNUMBER('Risk Register'!U62),IF('Risk Register'!U62&gt;0,'Risk Register'!U62,""),""))</x:f>
      </x:c>
      <x:c r="H62" s="14" t="str">
        <x:f>IF(A62="","",IF(OR(F62="Closed",F62="Accepted"),"",IF(ISNUMBER('Risk Register'!U62),IF('Risk Register'!U62&gt;0,'Risk Register'!U62-TODAY(),""),"")))</x:f>
      </x:c>
      <x:c r="I62" s="14" t="str">
        <x:f>IF(A62="","",'Risk Register'!R62)</x:f>
      </x:c>
      <x:c r="J62" s="14" t="str">
        <x:f>IF(A62="","",'Risk Register'!X62)</x:f>
      </x:c>
      <x:c r="K62" s="96" t="str">
        <x:f>IF(A62="","",IF('Risk Register'!Y62="","",'Risk Register'!Y62))</x:f>
      </x:c>
      <x:c r="L62" s="96" t="str">
        <x:f>IF(A62="","",IF('Risk Register'!Z62="","",'Risk Register'!Z62))</x:f>
      </x:c>
      <x:c r="M62" s="96" t="str">
        <x:f>IF(A62="","",IF('Risk Register'!AA62="","",'Risk Register'!AA62))</x:f>
      </x:c>
      <x:c r="N62" s="98" t="str">
        <x:f>IF(A62="","",IF('Risk Register'!AB62="","",'Risk Register'!AB62))</x:f>
      </x:c>
      <x:c r="O62" s="96" t="str">
        <x:f>IF(A62="","",IF('Risk Register'!AC62="","",'Risk Register'!AC62))</x:f>
      </x:c>
      <x:c r="P62" s="96" t="str">
        <x:f>IF(A62="","",'Risk Register'!AD62)</x:f>
      </x:c>
      <x:c r="Q62" s="96" t="str">
        <x:f>IF(A62="","",'Risk Register'!AE62)</x:f>
      </x:c>
    </x:row>
    <x:row r="63" ht="36" customHeight="1">
      <x:c r="A63" s="14" t="str">
        <x:f>IF('Risk Register'!A63="","",'Risk Register'!A63)</x:f>
      </x:c>
      <x:c r="B63" s="14" t="str">
        <x:f>IF(A63="","",'Risk Register'!D63)</x:f>
      </x:c>
      <x:c r="C63" s="14" t="str">
        <x:f>IF(A63="","",'Risk Register'!P63)</x:f>
      </x:c>
      <x:c r="D63" s="14" t="str">
        <x:f>IF(A63="","",'Risk Register'!Q63)</x:f>
      </x:c>
      <x:c r="E63" s="14" t="str">
        <x:f>IF(A63="","",'Risk Register'!S63)</x:f>
      </x:c>
      <x:c r="F63" s="14" t="str">
        <x:f>IF(A63="","",'Risk Register'!T63)</x:f>
      </x:c>
      <x:c r="G63" s="83" t="str">
        <x:f>IF(A63="","",IF(ISNUMBER('Risk Register'!U63),IF('Risk Register'!U63&gt;0,'Risk Register'!U63,""),""))</x:f>
      </x:c>
      <x:c r="H63" s="14" t="str">
        <x:f>IF(A63="","",IF(OR(F63="Closed",F63="Accepted"),"",IF(ISNUMBER('Risk Register'!U63),IF('Risk Register'!U63&gt;0,'Risk Register'!U63-TODAY(),""),"")))</x:f>
      </x:c>
      <x:c r="I63" s="14" t="str">
        <x:f>IF(A63="","",'Risk Register'!R63)</x:f>
      </x:c>
      <x:c r="J63" s="14" t="str">
        <x:f>IF(A63="","",'Risk Register'!X63)</x:f>
      </x:c>
      <x:c r="K63" s="96" t="str">
        <x:f>IF(A63="","",IF('Risk Register'!Y63="","",'Risk Register'!Y63))</x:f>
      </x:c>
      <x:c r="L63" s="96" t="str">
        <x:f>IF(A63="","",IF('Risk Register'!Z63="","",'Risk Register'!Z63))</x:f>
      </x:c>
      <x:c r="M63" s="96" t="str">
        <x:f>IF(A63="","",IF('Risk Register'!AA63="","",'Risk Register'!AA63))</x:f>
      </x:c>
      <x:c r="N63" s="98" t="str">
        <x:f>IF(A63="","",IF('Risk Register'!AB63="","",'Risk Register'!AB63))</x:f>
      </x:c>
      <x:c r="O63" s="96" t="str">
        <x:f>IF(A63="","",IF('Risk Register'!AC63="","",'Risk Register'!AC63))</x:f>
      </x:c>
      <x:c r="P63" s="96" t="str">
        <x:f>IF(A63="","",'Risk Register'!AD63)</x:f>
      </x:c>
      <x:c r="Q63" s="96" t="str">
        <x:f>IF(A63="","",'Risk Register'!AE63)</x:f>
      </x:c>
    </x:row>
    <x:row r="64" ht="36" customHeight="1">
      <x:c r="A64" s="14" t="str">
        <x:f>IF('Risk Register'!A64="","",'Risk Register'!A64)</x:f>
      </x:c>
      <x:c r="B64" s="14" t="str">
        <x:f>IF(A64="","",'Risk Register'!D64)</x:f>
      </x:c>
      <x:c r="C64" s="14" t="str">
        <x:f>IF(A64="","",'Risk Register'!P64)</x:f>
      </x:c>
      <x:c r="D64" s="14" t="str">
        <x:f>IF(A64="","",'Risk Register'!Q64)</x:f>
      </x:c>
      <x:c r="E64" s="14" t="str">
        <x:f>IF(A64="","",'Risk Register'!S64)</x:f>
      </x:c>
      <x:c r="F64" s="14" t="str">
        <x:f>IF(A64="","",'Risk Register'!T64)</x:f>
      </x:c>
      <x:c r="G64" s="83" t="str">
        <x:f>IF(A64="","",IF(ISNUMBER('Risk Register'!U64),IF('Risk Register'!U64&gt;0,'Risk Register'!U64,""),""))</x:f>
      </x:c>
      <x:c r="H64" s="14" t="str">
        <x:f>IF(A64="","",IF(OR(F64="Closed",F64="Accepted"),"",IF(ISNUMBER('Risk Register'!U64),IF('Risk Register'!U64&gt;0,'Risk Register'!U64-TODAY(),""),"")))</x:f>
      </x:c>
      <x:c r="I64" s="14" t="str">
        <x:f>IF(A64="","",'Risk Register'!R64)</x:f>
      </x:c>
      <x:c r="J64" s="14" t="str">
        <x:f>IF(A64="","",'Risk Register'!X64)</x:f>
      </x:c>
      <x:c r="K64" s="96" t="str">
        <x:f>IF(A64="","",IF('Risk Register'!Y64="","",'Risk Register'!Y64))</x:f>
      </x:c>
      <x:c r="L64" s="96" t="str">
        <x:f>IF(A64="","",IF('Risk Register'!Z64="","",'Risk Register'!Z64))</x:f>
      </x:c>
      <x:c r="M64" s="96" t="str">
        <x:f>IF(A64="","",IF('Risk Register'!AA64="","",'Risk Register'!AA64))</x:f>
      </x:c>
      <x:c r="N64" s="98" t="str">
        <x:f>IF(A64="","",IF('Risk Register'!AB64="","",'Risk Register'!AB64))</x:f>
      </x:c>
      <x:c r="O64" s="96" t="str">
        <x:f>IF(A64="","",IF('Risk Register'!AC64="","",'Risk Register'!AC64))</x:f>
      </x:c>
      <x:c r="P64" s="96" t="str">
        <x:f>IF(A64="","",'Risk Register'!AD64)</x:f>
      </x:c>
      <x:c r="Q64" s="96" t="str">
        <x:f>IF(A64="","",'Risk Register'!AE64)</x:f>
      </x:c>
    </x:row>
    <x:row r="65" ht="36" customHeight="1">
      <x:c r="A65" s="14" t="str">
        <x:f>IF('Risk Register'!A65="","",'Risk Register'!A65)</x:f>
      </x:c>
      <x:c r="B65" s="14" t="str">
        <x:f>IF(A65="","",'Risk Register'!D65)</x:f>
      </x:c>
      <x:c r="C65" s="14" t="str">
        <x:f>IF(A65="","",'Risk Register'!P65)</x:f>
      </x:c>
      <x:c r="D65" s="14" t="str">
        <x:f>IF(A65="","",'Risk Register'!Q65)</x:f>
      </x:c>
      <x:c r="E65" s="14" t="str">
        <x:f>IF(A65="","",'Risk Register'!S65)</x:f>
      </x:c>
      <x:c r="F65" s="14" t="str">
        <x:f>IF(A65="","",'Risk Register'!T65)</x:f>
      </x:c>
      <x:c r="G65" s="83" t="str">
        <x:f>IF(A65="","",IF(ISNUMBER('Risk Register'!U65),IF('Risk Register'!U65&gt;0,'Risk Register'!U65,""),""))</x:f>
      </x:c>
      <x:c r="H65" s="14" t="str">
        <x:f>IF(A65="","",IF(OR(F65="Closed",F65="Accepted"),"",IF(ISNUMBER('Risk Register'!U65),IF('Risk Register'!U65&gt;0,'Risk Register'!U65-TODAY(),""),"")))</x:f>
      </x:c>
      <x:c r="I65" s="14" t="str">
        <x:f>IF(A65="","",'Risk Register'!R65)</x:f>
      </x:c>
      <x:c r="J65" s="14" t="str">
        <x:f>IF(A65="","",'Risk Register'!X65)</x:f>
      </x:c>
      <x:c r="K65" s="96" t="str">
        <x:f>IF(A65="","",IF('Risk Register'!Y65="","",'Risk Register'!Y65))</x:f>
      </x:c>
      <x:c r="L65" s="96" t="str">
        <x:f>IF(A65="","",IF('Risk Register'!Z65="","",'Risk Register'!Z65))</x:f>
      </x:c>
      <x:c r="M65" s="96" t="str">
        <x:f>IF(A65="","",IF('Risk Register'!AA65="","",'Risk Register'!AA65))</x:f>
      </x:c>
      <x:c r="N65" s="98" t="str">
        <x:f>IF(A65="","",IF('Risk Register'!AB65="","",'Risk Register'!AB65))</x:f>
      </x:c>
      <x:c r="O65" s="96" t="str">
        <x:f>IF(A65="","",IF('Risk Register'!AC65="","",'Risk Register'!AC65))</x:f>
      </x:c>
      <x:c r="P65" s="96" t="str">
        <x:f>IF(A65="","",'Risk Register'!AD65)</x:f>
      </x:c>
      <x:c r="Q65" s="96" t="str">
        <x:f>IF(A65="","",'Risk Register'!AE65)</x:f>
      </x:c>
    </x:row>
    <x:row r="66" ht="36" customHeight="1">
      <x:c r="A66" s="14" t="str">
        <x:f>IF('Risk Register'!A66="","",'Risk Register'!A66)</x:f>
      </x:c>
      <x:c r="B66" s="14" t="str">
        <x:f>IF(A66="","",'Risk Register'!D66)</x:f>
      </x:c>
      <x:c r="C66" s="14" t="str">
        <x:f>IF(A66="","",'Risk Register'!P66)</x:f>
      </x:c>
      <x:c r="D66" s="14" t="str">
        <x:f>IF(A66="","",'Risk Register'!Q66)</x:f>
      </x:c>
      <x:c r="E66" s="14" t="str">
        <x:f>IF(A66="","",'Risk Register'!S66)</x:f>
      </x:c>
      <x:c r="F66" s="14" t="str">
        <x:f>IF(A66="","",'Risk Register'!T66)</x:f>
      </x:c>
      <x:c r="G66" s="83" t="str">
        <x:f>IF(A66="","",IF(ISNUMBER('Risk Register'!U66),IF('Risk Register'!U66&gt;0,'Risk Register'!U66,""),""))</x:f>
      </x:c>
      <x:c r="H66" s="14" t="str">
        <x:f>IF(A66="","",IF(OR(F66="Closed",F66="Accepted"),"",IF(ISNUMBER('Risk Register'!U66),IF('Risk Register'!U66&gt;0,'Risk Register'!U66-TODAY(),""),"")))</x:f>
      </x:c>
      <x:c r="I66" s="14" t="str">
        <x:f>IF(A66="","",'Risk Register'!R66)</x:f>
      </x:c>
      <x:c r="J66" s="14" t="str">
        <x:f>IF(A66="","",'Risk Register'!X66)</x:f>
      </x:c>
      <x:c r="K66" s="96" t="str">
        <x:f>IF(A66="","",IF('Risk Register'!Y66="","",'Risk Register'!Y66))</x:f>
      </x:c>
      <x:c r="L66" s="96" t="str">
        <x:f>IF(A66="","",IF('Risk Register'!Z66="","",'Risk Register'!Z66))</x:f>
      </x:c>
      <x:c r="M66" s="96" t="str">
        <x:f>IF(A66="","",IF('Risk Register'!AA66="","",'Risk Register'!AA66))</x:f>
      </x:c>
      <x:c r="N66" s="98" t="str">
        <x:f>IF(A66="","",IF('Risk Register'!AB66="","",'Risk Register'!AB66))</x:f>
      </x:c>
      <x:c r="O66" s="96" t="str">
        <x:f>IF(A66="","",IF('Risk Register'!AC66="","",'Risk Register'!AC66))</x:f>
      </x:c>
      <x:c r="P66" s="96" t="str">
        <x:f>IF(A66="","",'Risk Register'!AD66)</x:f>
      </x:c>
      <x:c r="Q66" s="96" t="str">
        <x:f>IF(A66="","",'Risk Register'!AE66)</x:f>
      </x:c>
    </x:row>
    <x:row r="67" ht="36" customHeight="1">
      <x:c r="A67" s="14" t="str">
        <x:f>IF('Risk Register'!A67="","",'Risk Register'!A67)</x:f>
      </x:c>
      <x:c r="B67" s="14" t="str">
        <x:f>IF(A67="","",'Risk Register'!D67)</x:f>
      </x:c>
      <x:c r="C67" s="14" t="str">
        <x:f>IF(A67="","",'Risk Register'!P67)</x:f>
      </x:c>
      <x:c r="D67" s="14" t="str">
        <x:f>IF(A67="","",'Risk Register'!Q67)</x:f>
      </x:c>
      <x:c r="E67" s="14" t="str">
        <x:f>IF(A67="","",'Risk Register'!S67)</x:f>
      </x:c>
      <x:c r="F67" s="14" t="str">
        <x:f>IF(A67="","",'Risk Register'!T67)</x:f>
      </x:c>
      <x:c r="G67" s="83" t="str">
        <x:f>IF(A67="","",IF(ISNUMBER('Risk Register'!U67),IF('Risk Register'!U67&gt;0,'Risk Register'!U67,""),""))</x:f>
      </x:c>
      <x:c r="H67" s="14" t="str">
        <x:f>IF(A67="","",IF(OR(F67="Closed",F67="Accepted"),"",IF(ISNUMBER('Risk Register'!U67),IF('Risk Register'!U67&gt;0,'Risk Register'!U67-TODAY(),""),"")))</x:f>
      </x:c>
      <x:c r="I67" s="14" t="str">
        <x:f>IF(A67="","",'Risk Register'!R67)</x:f>
      </x:c>
      <x:c r="J67" s="14" t="str">
        <x:f>IF(A67="","",'Risk Register'!X67)</x:f>
      </x:c>
      <x:c r="K67" s="96" t="str">
        <x:f>IF(A67="","",IF('Risk Register'!Y67="","",'Risk Register'!Y67))</x:f>
      </x:c>
      <x:c r="L67" s="96" t="str">
        <x:f>IF(A67="","",IF('Risk Register'!Z67="","",'Risk Register'!Z67))</x:f>
      </x:c>
      <x:c r="M67" s="96" t="str">
        <x:f>IF(A67="","",IF('Risk Register'!AA67="","",'Risk Register'!AA67))</x:f>
      </x:c>
      <x:c r="N67" s="98" t="str">
        <x:f>IF(A67="","",IF('Risk Register'!AB67="","",'Risk Register'!AB67))</x:f>
      </x:c>
      <x:c r="O67" s="96" t="str">
        <x:f>IF(A67="","",IF('Risk Register'!AC67="","",'Risk Register'!AC67))</x:f>
      </x:c>
      <x:c r="P67" s="96" t="str">
        <x:f>IF(A67="","",'Risk Register'!AD67)</x:f>
      </x:c>
      <x:c r="Q67" s="96" t="str">
        <x:f>IF(A67="","",'Risk Register'!AE67)</x:f>
      </x:c>
    </x:row>
    <x:row r="68" ht="36" customHeight="1">
      <x:c r="A68" s="14" t="str">
        <x:f>IF('Risk Register'!A68="","",'Risk Register'!A68)</x:f>
      </x:c>
      <x:c r="B68" s="14" t="str">
        <x:f>IF(A68="","",'Risk Register'!D68)</x:f>
      </x:c>
      <x:c r="C68" s="14" t="str">
        <x:f>IF(A68="","",'Risk Register'!P68)</x:f>
      </x:c>
      <x:c r="D68" s="14" t="str">
        <x:f>IF(A68="","",'Risk Register'!Q68)</x:f>
      </x:c>
      <x:c r="E68" s="14" t="str">
        <x:f>IF(A68="","",'Risk Register'!S68)</x:f>
      </x:c>
      <x:c r="F68" s="14" t="str">
        <x:f>IF(A68="","",'Risk Register'!T68)</x:f>
      </x:c>
      <x:c r="G68" s="83" t="str">
        <x:f>IF(A68="","",IF(ISNUMBER('Risk Register'!U68),IF('Risk Register'!U68&gt;0,'Risk Register'!U68,""),""))</x:f>
      </x:c>
      <x:c r="H68" s="14" t="str">
        <x:f>IF(A68="","",IF(OR(F68="Closed",F68="Accepted"),"",IF(ISNUMBER('Risk Register'!U68),IF('Risk Register'!U68&gt;0,'Risk Register'!U68-TODAY(),""),"")))</x:f>
      </x:c>
      <x:c r="I68" s="14" t="str">
        <x:f>IF(A68="","",'Risk Register'!R68)</x:f>
      </x:c>
      <x:c r="J68" s="14" t="str">
        <x:f>IF(A68="","",'Risk Register'!X68)</x:f>
      </x:c>
      <x:c r="K68" s="96" t="str">
        <x:f>IF(A68="","",IF('Risk Register'!Y68="","",'Risk Register'!Y68))</x:f>
      </x:c>
      <x:c r="L68" s="96" t="str">
        <x:f>IF(A68="","",IF('Risk Register'!Z68="","",'Risk Register'!Z68))</x:f>
      </x:c>
      <x:c r="M68" s="96" t="str">
        <x:f>IF(A68="","",IF('Risk Register'!AA68="","",'Risk Register'!AA68))</x:f>
      </x:c>
      <x:c r="N68" s="98" t="str">
        <x:f>IF(A68="","",IF('Risk Register'!AB68="","",'Risk Register'!AB68))</x:f>
      </x:c>
      <x:c r="O68" s="96" t="str">
        <x:f>IF(A68="","",IF('Risk Register'!AC68="","",'Risk Register'!AC68))</x:f>
      </x:c>
      <x:c r="P68" s="96" t="str">
        <x:f>IF(A68="","",'Risk Register'!AD68)</x:f>
      </x:c>
      <x:c r="Q68" s="96" t="str">
        <x:f>IF(A68="","",'Risk Register'!AE68)</x:f>
      </x:c>
    </x:row>
    <x:row r="69" ht="36" customHeight="1">
      <x:c r="A69" s="14" t="str">
        <x:f>IF('Risk Register'!A69="","",'Risk Register'!A69)</x:f>
      </x:c>
      <x:c r="B69" s="14" t="str">
        <x:f>IF(A69="","",'Risk Register'!D69)</x:f>
      </x:c>
      <x:c r="C69" s="14" t="str">
        <x:f>IF(A69="","",'Risk Register'!P69)</x:f>
      </x:c>
      <x:c r="D69" s="14" t="str">
        <x:f>IF(A69="","",'Risk Register'!Q69)</x:f>
      </x:c>
      <x:c r="E69" s="14" t="str">
        <x:f>IF(A69="","",'Risk Register'!S69)</x:f>
      </x:c>
      <x:c r="F69" s="14" t="str">
        <x:f>IF(A69="","",'Risk Register'!T69)</x:f>
      </x:c>
      <x:c r="G69" s="83" t="str">
        <x:f>IF(A69="","",IF(ISNUMBER('Risk Register'!U69),IF('Risk Register'!U69&gt;0,'Risk Register'!U69,""),""))</x:f>
      </x:c>
      <x:c r="H69" s="14" t="str">
        <x:f>IF(A69="","",IF(OR(F69="Closed",F69="Accepted"),"",IF(ISNUMBER('Risk Register'!U69),IF('Risk Register'!U69&gt;0,'Risk Register'!U69-TODAY(),""),"")))</x:f>
      </x:c>
      <x:c r="I69" s="14" t="str">
        <x:f>IF(A69="","",'Risk Register'!R69)</x:f>
      </x:c>
      <x:c r="J69" s="14" t="str">
        <x:f>IF(A69="","",'Risk Register'!X69)</x:f>
      </x:c>
      <x:c r="K69" s="96" t="str">
        <x:f>IF(A69="","",IF('Risk Register'!Y69="","",'Risk Register'!Y69))</x:f>
      </x:c>
      <x:c r="L69" s="96" t="str">
        <x:f>IF(A69="","",IF('Risk Register'!Z69="","",'Risk Register'!Z69))</x:f>
      </x:c>
      <x:c r="M69" s="96" t="str">
        <x:f>IF(A69="","",IF('Risk Register'!AA69="","",'Risk Register'!AA69))</x:f>
      </x:c>
      <x:c r="N69" s="98" t="str">
        <x:f>IF(A69="","",IF('Risk Register'!AB69="","",'Risk Register'!AB69))</x:f>
      </x:c>
      <x:c r="O69" s="96" t="str">
        <x:f>IF(A69="","",IF('Risk Register'!AC69="","",'Risk Register'!AC69))</x:f>
      </x:c>
      <x:c r="P69" s="96" t="str">
        <x:f>IF(A69="","",'Risk Register'!AD69)</x:f>
      </x:c>
      <x:c r="Q69" s="96" t="str">
        <x:f>IF(A69="","",'Risk Register'!AE69)</x:f>
      </x:c>
    </x:row>
    <x:row r="70" ht="36" customHeight="1">
      <x:c r="A70" s="14" t="str">
        <x:f>IF('Risk Register'!A70="","",'Risk Register'!A70)</x:f>
      </x:c>
      <x:c r="B70" s="14" t="str">
        <x:f>IF(A70="","",'Risk Register'!D70)</x:f>
      </x:c>
      <x:c r="C70" s="14" t="str">
        <x:f>IF(A70="","",'Risk Register'!P70)</x:f>
      </x:c>
      <x:c r="D70" s="14" t="str">
        <x:f>IF(A70="","",'Risk Register'!Q70)</x:f>
      </x:c>
      <x:c r="E70" s="14" t="str">
        <x:f>IF(A70="","",'Risk Register'!S70)</x:f>
      </x:c>
      <x:c r="F70" s="14" t="str">
        <x:f>IF(A70="","",'Risk Register'!T70)</x:f>
      </x:c>
      <x:c r="G70" s="83" t="str">
        <x:f>IF(A70="","",IF(ISNUMBER('Risk Register'!U70),IF('Risk Register'!U70&gt;0,'Risk Register'!U70,""),""))</x:f>
      </x:c>
      <x:c r="H70" s="14" t="str">
        <x:f>IF(A70="","",IF(OR(F70="Closed",F70="Accepted"),"",IF(ISNUMBER('Risk Register'!U70),IF('Risk Register'!U70&gt;0,'Risk Register'!U70-TODAY(),""),"")))</x:f>
      </x:c>
      <x:c r="I70" s="14" t="str">
        <x:f>IF(A70="","",'Risk Register'!R70)</x:f>
      </x:c>
      <x:c r="J70" s="14" t="str">
        <x:f>IF(A70="","",'Risk Register'!X70)</x:f>
      </x:c>
      <x:c r="K70" s="96" t="str">
        <x:f>IF(A70="","",IF('Risk Register'!Y70="","",'Risk Register'!Y70))</x:f>
      </x:c>
      <x:c r="L70" s="96" t="str">
        <x:f>IF(A70="","",IF('Risk Register'!Z70="","",'Risk Register'!Z70))</x:f>
      </x:c>
      <x:c r="M70" s="96" t="str">
        <x:f>IF(A70="","",IF('Risk Register'!AA70="","",'Risk Register'!AA70))</x:f>
      </x:c>
      <x:c r="N70" s="98" t="str">
        <x:f>IF(A70="","",IF('Risk Register'!AB70="","",'Risk Register'!AB70))</x:f>
      </x:c>
      <x:c r="O70" s="96" t="str">
        <x:f>IF(A70="","",IF('Risk Register'!AC70="","",'Risk Register'!AC70))</x:f>
      </x:c>
      <x:c r="P70" s="96" t="str">
        <x:f>IF(A70="","",'Risk Register'!AD70)</x:f>
      </x:c>
      <x:c r="Q70" s="96" t="str">
        <x:f>IF(A70="","",'Risk Register'!AE70)</x:f>
      </x:c>
    </x:row>
    <x:row r="71" ht="36" customHeight="1">
      <x:c r="A71" s="14" t="str">
        <x:f>IF('Risk Register'!A71="","",'Risk Register'!A71)</x:f>
      </x:c>
      <x:c r="B71" s="14" t="str">
        <x:f>IF(A71="","",'Risk Register'!D71)</x:f>
      </x:c>
      <x:c r="C71" s="14" t="str">
        <x:f>IF(A71="","",'Risk Register'!P71)</x:f>
      </x:c>
      <x:c r="D71" s="14" t="str">
        <x:f>IF(A71="","",'Risk Register'!Q71)</x:f>
      </x:c>
      <x:c r="E71" s="14" t="str">
        <x:f>IF(A71="","",'Risk Register'!S71)</x:f>
      </x:c>
      <x:c r="F71" s="14" t="str">
        <x:f>IF(A71="","",'Risk Register'!T71)</x:f>
      </x:c>
      <x:c r="G71" s="83" t="str">
        <x:f>IF(A71="","",IF(ISNUMBER('Risk Register'!U71),IF('Risk Register'!U71&gt;0,'Risk Register'!U71,""),""))</x:f>
      </x:c>
      <x:c r="H71" s="14" t="str">
        <x:f>IF(A71="","",IF(OR(F71="Closed",F71="Accepted"),"",IF(ISNUMBER('Risk Register'!U71),IF('Risk Register'!U71&gt;0,'Risk Register'!U71-TODAY(),""),"")))</x:f>
      </x:c>
      <x:c r="I71" s="14" t="str">
        <x:f>IF(A71="","",'Risk Register'!R71)</x:f>
      </x:c>
      <x:c r="J71" s="14" t="str">
        <x:f>IF(A71="","",'Risk Register'!X71)</x:f>
      </x:c>
      <x:c r="K71" s="96" t="str">
        <x:f>IF(A71="","",IF('Risk Register'!Y71="","",'Risk Register'!Y71))</x:f>
      </x:c>
      <x:c r="L71" s="96" t="str">
        <x:f>IF(A71="","",IF('Risk Register'!Z71="","",'Risk Register'!Z71))</x:f>
      </x:c>
      <x:c r="M71" s="96" t="str">
        <x:f>IF(A71="","",IF('Risk Register'!AA71="","",'Risk Register'!AA71))</x:f>
      </x:c>
      <x:c r="N71" s="98" t="str">
        <x:f>IF(A71="","",IF('Risk Register'!AB71="","",'Risk Register'!AB71))</x:f>
      </x:c>
      <x:c r="O71" s="96" t="str">
        <x:f>IF(A71="","",IF('Risk Register'!AC71="","",'Risk Register'!AC71))</x:f>
      </x:c>
      <x:c r="P71" s="96" t="str">
        <x:f>IF(A71="","",'Risk Register'!AD71)</x:f>
      </x:c>
      <x:c r="Q71" s="96" t="str">
        <x:f>IF(A71="","",'Risk Register'!AE71)</x:f>
      </x:c>
    </x:row>
    <x:row r="72" ht="36" customHeight="1">
      <x:c r="A72" s="14" t="str">
        <x:f>IF('Risk Register'!A72="","",'Risk Register'!A72)</x:f>
      </x:c>
      <x:c r="B72" s="14" t="str">
        <x:f>IF(A72="","",'Risk Register'!D72)</x:f>
      </x:c>
      <x:c r="C72" s="14" t="str">
        <x:f>IF(A72="","",'Risk Register'!P72)</x:f>
      </x:c>
      <x:c r="D72" s="14" t="str">
        <x:f>IF(A72="","",'Risk Register'!Q72)</x:f>
      </x:c>
      <x:c r="E72" s="14" t="str">
        <x:f>IF(A72="","",'Risk Register'!S72)</x:f>
      </x:c>
      <x:c r="F72" s="14" t="str">
        <x:f>IF(A72="","",'Risk Register'!T72)</x:f>
      </x:c>
      <x:c r="G72" s="83" t="str">
        <x:f>IF(A72="","",IF(ISNUMBER('Risk Register'!U72),IF('Risk Register'!U72&gt;0,'Risk Register'!U72,""),""))</x:f>
      </x:c>
      <x:c r="H72" s="14" t="str">
        <x:f>IF(A72="","",IF(OR(F72="Closed",F72="Accepted"),"",IF(ISNUMBER('Risk Register'!U72),IF('Risk Register'!U72&gt;0,'Risk Register'!U72-TODAY(),""),"")))</x:f>
      </x:c>
      <x:c r="I72" s="14" t="str">
        <x:f>IF(A72="","",'Risk Register'!R72)</x:f>
      </x:c>
      <x:c r="J72" s="14" t="str">
        <x:f>IF(A72="","",'Risk Register'!X72)</x:f>
      </x:c>
      <x:c r="K72" s="96" t="str">
        <x:f>IF(A72="","",IF('Risk Register'!Y72="","",'Risk Register'!Y72))</x:f>
      </x:c>
      <x:c r="L72" s="96" t="str">
        <x:f>IF(A72="","",IF('Risk Register'!Z72="","",'Risk Register'!Z72))</x:f>
      </x:c>
      <x:c r="M72" s="96" t="str">
        <x:f>IF(A72="","",IF('Risk Register'!AA72="","",'Risk Register'!AA72))</x:f>
      </x:c>
      <x:c r="N72" s="98" t="str">
        <x:f>IF(A72="","",IF('Risk Register'!AB72="","",'Risk Register'!AB72))</x:f>
      </x:c>
      <x:c r="O72" s="96" t="str">
        <x:f>IF(A72="","",IF('Risk Register'!AC72="","",'Risk Register'!AC72))</x:f>
      </x:c>
      <x:c r="P72" s="96" t="str">
        <x:f>IF(A72="","",'Risk Register'!AD72)</x:f>
      </x:c>
      <x:c r="Q72" s="96" t="str">
        <x:f>IF(A72="","",'Risk Register'!AE72)</x:f>
      </x:c>
    </x:row>
    <x:row r="73" ht="36" customHeight="1">
      <x:c r="A73" s="14" t="str">
        <x:f>IF('Risk Register'!A73="","",'Risk Register'!A73)</x:f>
      </x:c>
      <x:c r="B73" s="14" t="str">
        <x:f>IF(A73="","",'Risk Register'!D73)</x:f>
      </x:c>
      <x:c r="C73" s="14" t="str">
        <x:f>IF(A73="","",'Risk Register'!P73)</x:f>
      </x:c>
      <x:c r="D73" s="14" t="str">
        <x:f>IF(A73="","",'Risk Register'!Q73)</x:f>
      </x:c>
      <x:c r="E73" s="14" t="str">
        <x:f>IF(A73="","",'Risk Register'!S73)</x:f>
      </x:c>
      <x:c r="F73" s="14" t="str">
        <x:f>IF(A73="","",'Risk Register'!T73)</x:f>
      </x:c>
      <x:c r="G73" s="83" t="str">
        <x:f>IF(A73="","",IF(ISNUMBER('Risk Register'!U73),IF('Risk Register'!U73&gt;0,'Risk Register'!U73,""),""))</x:f>
      </x:c>
      <x:c r="H73" s="14" t="str">
        <x:f>IF(A73="","",IF(OR(F73="Closed",F73="Accepted"),"",IF(ISNUMBER('Risk Register'!U73),IF('Risk Register'!U73&gt;0,'Risk Register'!U73-TODAY(),""),"")))</x:f>
      </x:c>
      <x:c r="I73" s="14" t="str">
        <x:f>IF(A73="","",'Risk Register'!R73)</x:f>
      </x:c>
      <x:c r="J73" s="14" t="str">
        <x:f>IF(A73="","",'Risk Register'!X73)</x:f>
      </x:c>
      <x:c r="K73" s="96" t="str">
        <x:f>IF(A73="","",IF('Risk Register'!Y73="","",'Risk Register'!Y73))</x:f>
      </x:c>
      <x:c r="L73" s="96" t="str">
        <x:f>IF(A73="","",IF('Risk Register'!Z73="","",'Risk Register'!Z73))</x:f>
      </x:c>
      <x:c r="M73" s="96" t="str">
        <x:f>IF(A73="","",IF('Risk Register'!AA73="","",'Risk Register'!AA73))</x:f>
      </x:c>
      <x:c r="N73" s="98" t="str">
        <x:f>IF(A73="","",IF('Risk Register'!AB73="","",'Risk Register'!AB73))</x:f>
      </x:c>
      <x:c r="O73" s="96" t="str">
        <x:f>IF(A73="","",IF('Risk Register'!AC73="","",'Risk Register'!AC73))</x:f>
      </x:c>
      <x:c r="P73" s="96" t="str">
        <x:f>IF(A73="","",'Risk Register'!AD73)</x:f>
      </x:c>
      <x:c r="Q73" s="96" t="str">
        <x:f>IF(A73="","",'Risk Register'!AE73)</x:f>
      </x:c>
    </x:row>
    <x:row r="74" ht="36" customHeight="1">
      <x:c r="A74" s="14" t="str">
        <x:f>IF('Risk Register'!A74="","",'Risk Register'!A74)</x:f>
      </x:c>
      <x:c r="B74" s="14" t="str">
        <x:f>IF(A74="","",'Risk Register'!D74)</x:f>
      </x:c>
      <x:c r="C74" s="14" t="str">
        <x:f>IF(A74="","",'Risk Register'!P74)</x:f>
      </x:c>
      <x:c r="D74" s="14" t="str">
        <x:f>IF(A74="","",'Risk Register'!Q74)</x:f>
      </x:c>
      <x:c r="E74" s="14" t="str">
        <x:f>IF(A74="","",'Risk Register'!S74)</x:f>
      </x:c>
      <x:c r="F74" s="14" t="str">
        <x:f>IF(A74="","",'Risk Register'!T74)</x:f>
      </x:c>
      <x:c r="G74" s="83" t="str">
        <x:f>IF(A74="","",IF(ISNUMBER('Risk Register'!U74),IF('Risk Register'!U74&gt;0,'Risk Register'!U74,""),""))</x:f>
      </x:c>
      <x:c r="H74" s="14" t="str">
        <x:f>IF(A74="","",IF(OR(F74="Closed",F74="Accepted"),"",IF(ISNUMBER('Risk Register'!U74),IF('Risk Register'!U74&gt;0,'Risk Register'!U74-TODAY(),""),"")))</x:f>
      </x:c>
      <x:c r="I74" s="14" t="str">
        <x:f>IF(A74="","",'Risk Register'!R74)</x:f>
      </x:c>
      <x:c r="J74" s="14" t="str">
        <x:f>IF(A74="","",'Risk Register'!X74)</x:f>
      </x:c>
      <x:c r="K74" s="96" t="str">
        <x:f>IF(A74="","",IF('Risk Register'!Y74="","",'Risk Register'!Y74))</x:f>
      </x:c>
      <x:c r="L74" s="96" t="str">
        <x:f>IF(A74="","",IF('Risk Register'!Z74="","",'Risk Register'!Z74))</x:f>
      </x:c>
      <x:c r="M74" s="96" t="str">
        <x:f>IF(A74="","",IF('Risk Register'!AA74="","",'Risk Register'!AA74))</x:f>
      </x:c>
      <x:c r="N74" s="98" t="str">
        <x:f>IF(A74="","",IF('Risk Register'!AB74="","",'Risk Register'!AB74))</x:f>
      </x:c>
      <x:c r="O74" s="96" t="str">
        <x:f>IF(A74="","",IF('Risk Register'!AC74="","",'Risk Register'!AC74))</x:f>
      </x:c>
      <x:c r="P74" s="96" t="str">
        <x:f>IF(A74="","",'Risk Register'!AD74)</x:f>
      </x:c>
      <x:c r="Q74" s="96" t="str">
        <x:f>IF(A74="","",'Risk Register'!AE74)</x:f>
      </x:c>
    </x:row>
    <x:row r="75" ht="36" customHeight="1">
      <x:c r="A75" s="14" t="str">
        <x:f>IF('Risk Register'!A75="","",'Risk Register'!A75)</x:f>
      </x:c>
      <x:c r="B75" s="14" t="str">
        <x:f>IF(A75="","",'Risk Register'!D75)</x:f>
      </x:c>
      <x:c r="C75" s="14" t="str">
        <x:f>IF(A75="","",'Risk Register'!P75)</x:f>
      </x:c>
      <x:c r="D75" s="14" t="str">
        <x:f>IF(A75="","",'Risk Register'!Q75)</x:f>
      </x:c>
      <x:c r="E75" s="14" t="str">
        <x:f>IF(A75="","",'Risk Register'!S75)</x:f>
      </x:c>
      <x:c r="F75" s="14" t="str">
        <x:f>IF(A75="","",'Risk Register'!T75)</x:f>
      </x:c>
      <x:c r="G75" s="83" t="str">
        <x:f>IF(A75="","",IF(ISNUMBER('Risk Register'!U75),IF('Risk Register'!U75&gt;0,'Risk Register'!U75,""),""))</x:f>
      </x:c>
      <x:c r="H75" s="14" t="str">
        <x:f>IF(A75="","",IF(OR(F75="Closed",F75="Accepted"),"",IF(ISNUMBER('Risk Register'!U75),IF('Risk Register'!U75&gt;0,'Risk Register'!U75-TODAY(),""),"")))</x:f>
      </x:c>
      <x:c r="I75" s="14" t="str">
        <x:f>IF(A75="","",'Risk Register'!R75)</x:f>
      </x:c>
      <x:c r="J75" s="14" t="str">
        <x:f>IF(A75="","",'Risk Register'!X75)</x:f>
      </x:c>
      <x:c r="K75" s="96" t="str">
        <x:f>IF(A75="","",IF('Risk Register'!Y75="","",'Risk Register'!Y75))</x:f>
      </x:c>
      <x:c r="L75" s="96" t="str">
        <x:f>IF(A75="","",IF('Risk Register'!Z75="","",'Risk Register'!Z75))</x:f>
      </x:c>
      <x:c r="M75" s="96" t="str">
        <x:f>IF(A75="","",IF('Risk Register'!AA75="","",'Risk Register'!AA75))</x:f>
      </x:c>
      <x:c r="N75" s="98" t="str">
        <x:f>IF(A75="","",IF('Risk Register'!AB75="","",'Risk Register'!AB75))</x:f>
      </x:c>
      <x:c r="O75" s="96" t="str">
        <x:f>IF(A75="","",IF('Risk Register'!AC75="","",'Risk Register'!AC75))</x:f>
      </x:c>
      <x:c r="P75" s="96" t="str">
        <x:f>IF(A75="","",'Risk Register'!AD75)</x:f>
      </x:c>
      <x:c r="Q75" s="96" t="str">
        <x:f>IF(A75="","",'Risk Register'!AE75)</x:f>
      </x:c>
    </x:row>
    <x:row r="76" ht="36" customHeight="1">
      <x:c r="A76" s="14" t="str">
        <x:f>IF('Risk Register'!A76="","",'Risk Register'!A76)</x:f>
      </x:c>
      <x:c r="B76" s="14" t="str">
        <x:f>IF(A76="","",'Risk Register'!D76)</x:f>
      </x:c>
      <x:c r="C76" s="14" t="str">
        <x:f>IF(A76="","",'Risk Register'!P76)</x:f>
      </x:c>
      <x:c r="D76" s="14" t="str">
        <x:f>IF(A76="","",'Risk Register'!Q76)</x:f>
      </x:c>
      <x:c r="E76" s="14" t="str">
        <x:f>IF(A76="","",'Risk Register'!S76)</x:f>
      </x:c>
      <x:c r="F76" s="14" t="str">
        <x:f>IF(A76="","",'Risk Register'!T76)</x:f>
      </x:c>
      <x:c r="G76" s="83" t="str">
        <x:f>IF(A76="","",IF(ISNUMBER('Risk Register'!U76),IF('Risk Register'!U76&gt;0,'Risk Register'!U76,""),""))</x:f>
      </x:c>
      <x:c r="H76" s="14" t="str">
        <x:f>IF(A76="","",IF(OR(F76="Closed",F76="Accepted"),"",IF(ISNUMBER('Risk Register'!U76),IF('Risk Register'!U76&gt;0,'Risk Register'!U76-TODAY(),""),"")))</x:f>
      </x:c>
      <x:c r="I76" s="14" t="str">
        <x:f>IF(A76="","",'Risk Register'!R76)</x:f>
      </x:c>
      <x:c r="J76" s="14" t="str">
        <x:f>IF(A76="","",'Risk Register'!X76)</x:f>
      </x:c>
      <x:c r="K76" s="96" t="str">
        <x:f>IF(A76="","",IF('Risk Register'!Y76="","",'Risk Register'!Y76))</x:f>
      </x:c>
      <x:c r="L76" s="96" t="str">
        <x:f>IF(A76="","",IF('Risk Register'!Z76="","",'Risk Register'!Z76))</x:f>
      </x:c>
      <x:c r="M76" s="96" t="str">
        <x:f>IF(A76="","",IF('Risk Register'!AA76="","",'Risk Register'!AA76))</x:f>
      </x:c>
      <x:c r="N76" s="98" t="str">
        <x:f>IF(A76="","",IF('Risk Register'!AB76="","",'Risk Register'!AB76))</x:f>
      </x:c>
      <x:c r="O76" s="96" t="str">
        <x:f>IF(A76="","",IF('Risk Register'!AC76="","",'Risk Register'!AC76))</x:f>
      </x:c>
      <x:c r="P76" s="96" t="str">
        <x:f>IF(A76="","",'Risk Register'!AD76)</x:f>
      </x:c>
      <x:c r="Q76" s="96" t="str">
        <x:f>IF(A76="","",'Risk Register'!AE76)</x:f>
      </x:c>
    </x:row>
    <x:row r="77" ht="36" customHeight="1">
      <x:c r="A77" s="14" t="str">
        <x:f>IF('Risk Register'!A77="","",'Risk Register'!A77)</x:f>
      </x:c>
      <x:c r="B77" s="14" t="str">
        <x:f>IF(A77="","",'Risk Register'!D77)</x:f>
      </x:c>
      <x:c r="C77" s="14" t="str">
        <x:f>IF(A77="","",'Risk Register'!P77)</x:f>
      </x:c>
      <x:c r="D77" s="14" t="str">
        <x:f>IF(A77="","",'Risk Register'!Q77)</x:f>
      </x:c>
      <x:c r="E77" s="14" t="str">
        <x:f>IF(A77="","",'Risk Register'!S77)</x:f>
      </x:c>
      <x:c r="F77" s="14" t="str">
        <x:f>IF(A77="","",'Risk Register'!T77)</x:f>
      </x:c>
      <x:c r="G77" s="83" t="str">
        <x:f>IF(A77="","",IF(ISNUMBER('Risk Register'!U77),IF('Risk Register'!U77&gt;0,'Risk Register'!U77,""),""))</x:f>
      </x:c>
      <x:c r="H77" s="14" t="str">
        <x:f>IF(A77="","",IF(OR(F77="Closed",F77="Accepted"),"",IF(ISNUMBER('Risk Register'!U77),IF('Risk Register'!U77&gt;0,'Risk Register'!U77-TODAY(),""),"")))</x:f>
      </x:c>
      <x:c r="I77" s="14" t="str">
        <x:f>IF(A77="","",'Risk Register'!R77)</x:f>
      </x:c>
      <x:c r="J77" s="14" t="str">
        <x:f>IF(A77="","",'Risk Register'!X77)</x:f>
      </x:c>
      <x:c r="K77" s="96" t="str">
        <x:f>IF(A77="","",IF('Risk Register'!Y77="","",'Risk Register'!Y77))</x:f>
      </x:c>
      <x:c r="L77" s="96" t="str">
        <x:f>IF(A77="","",IF('Risk Register'!Z77="","",'Risk Register'!Z77))</x:f>
      </x:c>
      <x:c r="M77" s="96" t="str">
        <x:f>IF(A77="","",IF('Risk Register'!AA77="","",'Risk Register'!AA77))</x:f>
      </x:c>
      <x:c r="N77" s="98" t="str">
        <x:f>IF(A77="","",IF('Risk Register'!AB77="","",'Risk Register'!AB77))</x:f>
      </x:c>
      <x:c r="O77" s="96" t="str">
        <x:f>IF(A77="","",IF('Risk Register'!AC77="","",'Risk Register'!AC77))</x:f>
      </x:c>
      <x:c r="P77" s="96" t="str">
        <x:f>IF(A77="","",'Risk Register'!AD77)</x:f>
      </x:c>
      <x:c r="Q77" s="96" t="str">
        <x:f>IF(A77="","",'Risk Register'!AE77)</x:f>
      </x:c>
    </x:row>
    <x:row r="78" ht="36" customHeight="1">
      <x:c r="A78" s="14" t="str">
        <x:f>IF('Risk Register'!A78="","",'Risk Register'!A78)</x:f>
      </x:c>
      <x:c r="B78" s="14" t="str">
        <x:f>IF(A78="","",'Risk Register'!D78)</x:f>
      </x:c>
      <x:c r="C78" s="14" t="str">
        <x:f>IF(A78="","",'Risk Register'!P78)</x:f>
      </x:c>
      <x:c r="D78" s="14" t="str">
        <x:f>IF(A78="","",'Risk Register'!Q78)</x:f>
      </x:c>
      <x:c r="E78" s="14" t="str">
        <x:f>IF(A78="","",'Risk Register'!S78)</x:f>
      </x:c>
      <x:c r="F78" s="14" t="str">
        <x:f>IF(A78="","",'Risk Register'!T78)</x:f>
      </x:c>
      <x:c r="G78" s="83" t="str">
        <x:f>IF(A78="","",IF(ISNUMBER('Risk Register'!U78),IF('Risk Register'!U78&gt;0,'Risk Register'!U78,""),""))</x:f>
      </x:c>
      <x:c r="H78" s="14" t="str">
        <x:f>IF(A78="","",IF(OR(F78="Closed",F78="Accepted"),"",IF(ISNUMBER('Risk Register'!U78),IF('Risk Register'!U78&gt;0,'Risk Register'!U78-TODAY(),""),"")))</x:f>
      </x:c>
      <x:c r="I78" s="14" t="str">
        <x:f>IF(A78="","",'Risk Register'!R78)</x:f>
      </x:c>
      <x:c r="J78" s="14" t="str">
        <x:f>IF(A78="","",'Risk Register'!X78)</x:f>
      </x:c>
      <x:c r="K78" s="96" t="str">
        <x:f>IF(A78="","",IF('Risk Register'!Y78="","",'Risk Register'!Y78))</x:f>
      </x:c>
      <x:c r="L78" s="96" t="str">
        <x:f>IF(A78="","",IF('Risk Register'!Z78="","",'Risk Register'!Z78))</x:f>
      </x:c>
      <x:c r="M78" s="96" t="str">
        <x:f>IF(A78="","",IF('Risk Register'!AA78="","",'Risk Register'!AA78))</x:f>
      </x:c>
      <x:c r="N78" s="98" t="str">
        <x:f>IF(A78="","",IF('Risk Register'!AB78="","",'Risk Register'!AB78))</x:f>
      </x:c>
      <x:c r="O78" s="96" t="str">
        <x:f>IF(A78="","",IF('Risk Register'!AC78="","",'Risk Register'!AC78))</x:f>
      </x:c>
      <x:c r="P78" s="96" t="str">
        <x:f>IF(A78="","",'Risk Register'!AD78)</x:f>
      </x:c>
      <x:c r="Q78" s="96" t="str">
        <x:f>IF(A78="","",'Risk Register'!AE78)</x:f>
      </x:c>
    </x:row>
    <x:row r="79" ht="36" customHeight="1">
      <x:c r="A79" s="14" t="str">
        <x:f>IF('Risk Register'!A79="","",'Risk Register'!A79)</x:f>
      </x:c>
      <x:c r="B79" s="14" t="str">
        <x:f>IF(A79="","",'Risk Register'!D79)</x:f>
      </x:c>
      <x:c r="C79" s="14" t="str">
        <x:f>IF(A79="","",'Risk Register'!P79)</x:f>
      </x:c>
      <x:c r="D79" s="14" t="str">
        <x:f>IF(A79="","",'Risk Register'!Q79)</x:f>
      </x:c>
      <x:c r="E79" s="14" t="str">
        <x:f>IF(A79="","",'Risk Register'!S79)</x:f>
      </x:c>
      <x:c r="F79" s="14" t="str">
        <x:f>IF(A79="","",'Risk Register'!T79)</x:f>
      </x:c>
      <x:c r="G79" s="83" t="str">
        <x:f>IF(A79="","",IF(ISNUMBER('Risk Register'!U79),IF('Risk Register'!U79&gt;0,'Risk Register'!U79,""),""))</x:f>
      </x:c>
      <x:c r="H79" s="14" t="str">
        <x:f>IF(A79="","",IF(OR(F79="Closed",F79="Accepted"),"",IF(ISNUMBER('Risk Register'!U79),IF('Risk Register'!U79&gt;0,'Risk Register'!U79-TODAY(),""),"")))</x:f>
      </x:c>
      <x:c r="I79" s="14" t="str">
        <x:f>IF(A79="","",'Risk Register'!R79)</x:f>
      </x:c>
      <x:c r="J79" s="14" t="str">
        <x:f>IF(A79="","",'Risk Register'!X79)</x:f>
      </x:c>
      <x:c r="K79" s="96" t="str">
        <x:f>IF(A79="","",IF('Risk Register'!Y79="","",'Risk Register'!Y79))</x:f>
      </x:c>
      <x:c r="L79" s="96" t="str">
        <x:f>IF(A79="","",IF('Risk Register'!Z79="","",'Risk Register'!Z79))</x:f>
      </x:c>
      <x:c r="M79" s="96" t="str">
        <x:f>IF(A79="","",IF('Risk Register'!AA79="","",'Risk Register'!AA79))</x:f>
      </x:c>
      <x:c r="N79" s="98" t="str">
        <x:f>IF(A79="","",IF('Risk Register'!AB79="","",'Risk Register'!AB79))</x:f>
      </x:c>
      <x:c r="O79" s="96" t="str">
        <x:f>IF(A79="","",IF('Risk Register'!AC79="","",'Risk Register'!AC79))</x:f>
      </x:c>
      <x:c r="P79" s="96" t="str">
        <x:f>IF(A79="","",'Risk Register'!AD79)</x:f>
      </x:c>
      <x:c r="Q79" s="96" t="str">
        <x:f>IF(A79="","",'Risk Register'!AE79)</x:f>
      </x:c>
    </x:row>
    <x:row r="80" ht="36" customHeight="1">
      <x:c r="A80" s="14" t="str">
        <x:f>IF('Risk Register'!A80="","",'Risk Register'!A80)</x:f>
      </x:c>
      <x:c r="B80" s="14" t="str">
        <x:f>IF(A80="","",'Risk Register'!D80)</x:f>
      </x:c>
      <x:c r="C80" s="14" t="str">
        <x:f>IF(A80="","",'Risk Register'!P80)</x:f>
      </x:c>
      <x:c r="D80" s="14" t="str">
        <x:f>IF(A80="","",'Risk Register'!Q80)</x:f>
      </x:c>
      <x:c r="E80" s="14" t="str">
        <x:f>IF(A80="","",'Risk Register'!S80)</x:f>
      </x:c>
      <x:c r="F80" s="14" t="str">
        <x:f>IF(A80="","",'Risk Register'!T80)</x:f>
      </x:c>
      <x:c r="G80" s="83" t="str">
        <x:f>IF(A80="","",IF(ISNUMBER('Risk Register'!U80),IF('Risk Register'!U80&gt;0,'Risk Register'!U80,""),""))</x:f>
      </x:c>
      <x:c r="H80" s="14" t="str">
        <x:f>IF(A80="","",IF(OR(F80="Closed",F80="Accepted"),"",IF(ISNUMBER('Risk Register'!U80),IF('Risk Register'!U80&gt;0,'Risk Register'!U80-TODAY(),""),"")))</x:f>
      </x:c>
      <x:c r="I80" s="14" t="str">
        <x:f>IF(A80="","",'Risk Register'!R80)</x:f>
      </x:c>
      <x:c r="J80" s="14" t="str">
        <x:f>IF(A80="","",'Risk Register'!X80)</x:f>
      </x:c>
      <x:c r="K80" s="96" t="str">
        <x:f>IF(A80="","",IF('Risk Register'!Y80="","",'Risk Register'!Y80))</x:f>
      </x:c>
      <x:c r="L80" s="96" t="str">
        <x:f>IF(A80="","",IF('Risk Register'!Z80="","",'Risk Register'!Z80))</x:f>
      </x:c>
      <x:c r="M80" s="96" t="str">
        <x:f>IF(A80="","",IF('Risk Register'!AA80="","",'Risk Register'!AA80))</x:f>
      </x:c>
      <x:c r="N80" s="98" t="str">
        <x:f>IF(A80="","",IF('Risk Register'!AB80="","",'Risk Register'!AB80))</x:f>
      </x:c>
      <x:c r="O80" s="96" t="str">
        <x:f>IF(A80="","",IF('Risk Register'!AC80="","",'Risk Register'!AC80))</x:f>
      </x:c>
      <x:c r="P80" s="96" t="str">
        <x:f>IF(A80="","",'Risk Register'!AD80)</x:f>
      </x:c>
      <x:c r="Q80" s="96" t="str">
        <x:f>IF(A80="","",'Risk Register'!AE80)</x:f>
      </x:c>
    </x:row>
    <x:row r="81" ht="36" customHeight="1">
      <x:c r="A81" s="14" t="str">
        <x:f>IF('Risk Register'!A81="","",'Risk Register'!A81)</x:f>
      </x:c>
      <x:c r="B81" s="14" t="str">
        <x:f>IF(A81="","",'Risk Register'!D81)</x:f>
      </x:c>
      <x:c r="C81" s="14" t="str">
        <x:f>IF(A81="","",'Risk Register'!P81)</x:f>
      </x:c>
      <x:c r="D81" s="14" t="str">
        <x:f>IF(A81="","",'Risk Register'!Q81)</x:f>
      </x:c>
      <x:c r="E81" s="14" t="str">
        <x:f>IF(A81="","",'Risk Register'!S81)</x:f>
      </x:c>
      <x:c r="F81" s="14" t="str">
        <x:f>IF(A81="","",'Risk Register'!T81)</x:f>
      </x:c>
      <x:c r="G81" s="83" t="str">
        <x:f>IF(A81="","",IF(ISNUMBER('Risk Register'!U81),IF('Risk Register'!U81&gt;0,'Risk Register'!U81,""),""))</x:f>
      </x:c>
      <x:c r="H81" s="14" t="str">
        <x:f>IF(A81="","",IF(OR(F81="Closed",F81="Accepted"),"",IF(ISNUMBER('Risk Register'!U81),IF('Risk Register'!U81&gt;0,'Risk Register'!U81-TODAY(),""),"")))</x:f>
      </x:c>
      <x:c r="I81" s="14" t="str">
        <x:f>IF(A81="","",'Risk Register'!R81)</x:f>
      </x:c>
      <x:c r="J81" s="14" t="str">
        <x:f>IF(A81="","",'Risk Register'!X81)</x:f>
      </x:c>
      <x:c r="K81" s="96" t="str">
        <x:f>IF(A81="","",IF('Risk Register'!Y81="","",'Risk Register'!Y81))</x:f>
      </x:c>
      <x:c r="L81" s="96" t="str">
        <x:f>IF(A81="","",IF('Risk Register'!Z81="","",'Risk Register'!Z81))</x:f>
      </x:c>
      <x:c r="M81" s="96" t="str">
        <x:f>IF(A81="","",IF('Risk Register'!AA81="","",'Risk Register'!AA81))</x:f>
      </x:c>
      <x:c r="N81" s="98" t="str">
        <x:f>IF(A81="","",IF('Risk Register'!AB81="","",'Risk Register'!AB81))</x:f>
      </x:c>
      <x:c r="O81" s="96" t="str">
        <x:f>IF(A81="","",IF('Risk Register'!AC81="","",'Risk Register'!AC81))</x:f>
      </x:c>
      <x:c r="P81" s="96" t="str">
        <x:f>IF(A81="","",'Risk Register'!AD81)</x:f>
      </x:c>
      <x:c r="Q81" s="96" t="str">
        <x:f>IF(A81="","",'Risk Register'!AE81)</x:f>
      </x:c>
    </x:row>
    <x:row r="82" ht="36" customHeight="1">
      <x:c r="A82" s="14" t="str">
        <x:f>IF('Risk Register'!A82="","",'Risk Register'!A82)</x:f>
      </x:c>
      <x:c r="B82" s="14" t="str">
        <x:f>IF(A82="","",'Risk Register'!D82)</x:f>
      </x:c>
      <x:c r="C82" s="14" t="str">
        <x:f>IF(A82="","",'Risk Register'!P82)</x:f>
      </x:c>
      <x:c r="D82" s="14" t="str">
        <x:f>IF(A82="","",'Risk Register'!Q82)</x:f>
      </x:c>
      <x:c r="E82" s="14" t="str">
        <x:f>IF(A82="","",'Risk Register'!S82)</x:f>
      </x:c>
      <x:c r="F82" s="14" t="str">
        <x:f>IF(A82="","",'Risk Register'!T82)</x:f>
      </x:c>
      <x:c r="G82" s="83" t="str">
        <x:f>IF(A82="","",IF(ISNUMBER('Risk Register'!U82),IF('Risk Register'!U82&gt;0,'Risk Register'!U82,""),""))</x:f>
      </x:c>
      <x:c r="H82" s="14" t="str">
        <x:f>IF(A82="","",IF(OR(F82="Closed",F82="Accepted"),"",IF(ISNUMBER('Risk Register'!U82),IF('Risk Register'!U82&gt;0,'Risk Register'!U82-TODAY(),""),"")))</x:f>
      </x:c>
      <x:c r="I82" s="14" t="str">
        <x:f>IF(A82="","",'Risk Register'!R82)</x:f>
      </x:c>
      <x:c r="J82" s="14" t="str">
        <x:f>IF(A82="","",'Risk Register'!X82)</x:f>
      </x:c>
      <x:c r="K82" s="96" t="str">
        <x:f>IF(A82="","",IF('Risk Register'!Y82="","",'Risk Register'!Y82))</x:f>
      </x:c>
      <x:c r="L82" s="96" t="str">
        <x:f>IF(A82="","",IF('Risk Register'!Z82="","",'Risk Register'!Z82))</x:f>
      </x:c>
      <x:c r="M82" s="96" t="str">
        <x:f>IF(A82="","",IF('Risk Register'!AA82="","",'Risk Register'!AA82))</x:f>
      </x:c>
      <x:c r="N82" s="98" t="str">
        <x:f>IF(A82="","",IF('Risk Register'!AB82="","",'Risk Register'!AB82))</x:f>
      </x:c>
      <x:c r="O82" s="96" t="str">
        <x:f>IF(A82="","",IF('Risk Register'!AC82="","",'Risk Register'!AC82))</x:f>
      </x:c>
      <x:c r="P82" s="96" t="str">
        <x:f>IF(A82="","",'Risk Register'!AD82)</x:f>
      </x:c>
      <x:c r="Q82" s="96" t="str">
        <x:f>IF(A82="","",'Risk Register'!AE82)</x:f>
      </x:c>
    </x:row>
    <x:row r="83" ht="36" customHeight="1">
      <x:c r="A83" s="14" t="str">
        <x:f>IF('Risk Register'!A83="","",'Risk Register'!A83)</x:f>
      </x:c>
      <x:c r="B83" s="14" t="str">
        <x:f>IF(A83="","",'Risk Register'!D83)</x:f>
      </x:c>
      <x:c r="C83" s="14" t="str">
        <x:f>IF(A83="","",'Risk Register'!P83)</x:f>
      </x:c>
      <x:c r="D83" s="14" t="str">
        <x:f>IF(A83="","",'Risk Register'!Q83)</x:f>
      </x:c>
      <x:c r="E83" s="14" t="str">
        <x:f>IF(A83="","",'Risk Register'!S83)</x:f>
      </x:c>
      <x:c r="F83" s="14" t="str">
        <x:f>IF(A83="","",'Risk Register'!T83)</x:f>
      </x:c>
      <x:c r="G83" s="83" t="str">
        <x:f>IF(A83="","",IF(ISNUMBER('Risk Register'!U83),IF('Risk Register'!U83&gt;0,'Risk Register'!U83,""),""))</x:f>
      </x:c>
      <x:c r="H83" s="14" t="str">
        <x:f>IF(A83="","",IF(OR(F83="Closed",F83="Accepted"),"",IF(ISNUMBER('Risk Register'!U83),IF('Risk Register'!U83&gt;0,'Risk Register'!U83-TODAY(),""),"")))</x:f>
      </x:c>
      <x:c r="I83" s="14" t="str">
        <x:f>IF(A83="","",'Risk Register'!R83)</x:f>
      </x:c>
      <x:c r="J83" s="14" t="str">
        <x:f>IF(A83="","",'Risk Register'!X83)</x:f>
      </x:c>
      <x:c r="K83" s="96" t="str">
        <x:f>IF(A83="","",IF('Risk Register'!Y83="","",'Risk Register'!Y83))</x:f>
      </x:c>
      <x:c r="L83" s="96" t="str">
        <x:f>IF(A83="","",IF('Risk Register'!Z83="","",'Risk Register'!Z83))</x:f>
      </x:c>
      <x:c r="M83" s="96" t="str">
        <x:f>IF(A83="","",IF('Risk Register'!AA83="","",'Risk Register'!AA83))</x:f>
      </x:c>
      <x:c r="N83" s="98" t="str">
        <x:f>IF(A83="","",IF('Risk Register'!AB83="","",'Risk Register'!AB83))</x:f>
      </x:c>
      <x:c r="O83" s="96" t="str">
        <x:f>IF(A83="","",IF('Risk Register'!AC83="","",'Risk Register'!AC83))</x:f>
      </x:c>
      <x:c r="P83" s="96" t="str">
        <x:f>IF(A83="","",'Risk Register'!AD83)</x:f>
      </x:c>
      <x:c r="Q83" s="96" t="str">
        <x:f>IF(A83="","",'Risk Register'!AE83)</x:f>
      </x:c>
    </x:row>
    <x:row r="84" ht="36" customHeight="1">
      <x:c r="A84" s="14" t="str">
        <x:f>IF('Risk Register'!A84="","",'Risk Register'!A84)</x:f>
      </x:c>
      <x:c r="B84" s="14" t="str">
        <x:f>IF(A84="","",'Risk Register'!D84)</x:f>
      </x:c>
      <x:c r="C84" s="14" t="str">
        <x:f>IF(A84="","",'Risk Register'!P84)</x:f>
      </x:c>
      <x:c r="D84" s="14" t="str">
        <x:f>IF(A84="","",'Risk Register'!Q84)</x:f>
      </x:c>
      <x:c r="E84" s="14" t="str">
        <x:f>IF(A84="","",'Risk Register'!S84)</x:f>
      </x:c>
      <x:c r="F84" s="14" t="str">
        <x:f>IF(A84="","",'Risk Register'!T84)</x:f>
      </x:c>
      <x:c r="G84" s="83" t="str">
        <x:f>IF(A84="","",IF(ISNUMBER('Risk Register'!U84),IF('Risk Register'!U84&gt;0,'Risk Register'!U84,""),""))</x:f>
      </x:c>
      <x:c r="H84" s="14" t="str">
        <x:f>IF(A84="","",IF(OR(F84="Closed",F84="Accepted"),"",IF(ISNUMBER('Risk Register'!U84),IF('Risk Register'!U84&gt;0,'Risk Register'!U84-TODAY(),""),"")))</x:f>
      </x:c>
      <x:c r="I84" s="14" t="str">
        <x:f>IF(A84="","",'Risk Register'!R84)</x:f>
      </x:c>
      <x:c r="J84" s="14" t="str">
        <x:f>IF(A84="","",'Risk Register'!X84)</x:f>
      </x:c>
      <x:c r="K84" s="96" t="str">
        <x:f>IF(A84="","",IF('Risk Register'!Y84="","",'Risk Register'!Y84))</x:f>
      </x:c>
      <x:c r="L84" s="96" t="str">
        <x:f>IF(A84="","",IF('Risk Register'!Z84="","",'Risk Register'!Z84))</x:f>
      </x:c>
      <x:c r="M84" s="96" t="str">
        <x:f>IF(A84="","",IF('Risk Register'!AA84="","",'Risk Register'!AA84))</x:f>
      </x:c>
      <x:c r="N84" s="98" t="str">
        <x:f>IF(A84="","",IF('Risk Register'!AB84="","",'Risk Register'!AB84))</x:f>
      </x:c>
      <x:c r="O84" s="96" t="str">
        <x:f>IF(A84="","",IF('Risk Register'!AC84="","",'Risk Register'!AC84))</x:f>
      </x:c>
      <x:c r="P84" s="96" t="str">
        <x:f>IF(A84="","",'Risk Register'!AD84)</x:f>
      </x:c>
      <x:c r="Q84" s="96" t="str">
        <x:f>IF(A84="","",'Risk Register'!AE84)</x:f>
      </x:c>
    </x:row>
    <x:row r="85" ht="36" customHeight="1">
      <x:c r="A85" s="14" t="str">
        <x:f>IF('Risk Register'!A85="","",'Risk Register'!A85)</x:f>
      </x:c>
      <x:c r="B85" s="14" t="str">
        <x:f>IF(A85="","",'Risk Register'!D85)</x:f>
      </x:c>
      <x:c r="C85" s="14" t="str">
        <x:f>IF(A85="","",'Risk Register'!P85)</x:f>
      </x:c>
      <x:c r="D85" s="14" t="str">
        <x:f>IF(A85="","",'Risk Register'!Q85)</x:f>
      </x:c>
      <x:c r="E85" s="14" t="str">
        <x:f>IF(A85="","",'Risk Register'!S85)</x:f>
      </x:c>
      <x:c r="F85" s="14" t="str">
        <x:f>IF(A85="","",'Risk Register'!T85)</x:f>
      </x:c>
      <x:c r="G85" s="83" t="str">
        <x:f>IF(A85="","",IF(ISNUMBER('Risk Register'!U85),IF('Risk Register'!U85&gt;0,'Risk Register'!U85,""),""))</x:f>
      </x:c>
      <x:c r="H85" s="14" t="str">
        <x:f>IF(A85="","",IF(OR(F85="Closed",F85="Accepted"),"",IF(ISNUMBER('Risk Register'!U85),IF('Risk Register'!U85&gt;0,'Risk Register'!U85-TODAY(),""),"")))</x:f>
      </x:c>
      <x:c r="I85" s="14" t="str">
        <x:f>IF(A85="","",'Risk Register'!R85)</x:f>
      </x:c>
      <x:c r="J85" s="14" t="str">
        <x:f>IF(A85="","",'Risk Register'!X85)</x:f>
      </x:c>
      <x:c r="K85" s="96" t="str">
        <x:f>IF(A85="","",IF('Risk Register'!Y85="","",'Risk Register'!Y85))</x:f>
      </x:c>
      <x:c r="L85" s="96" t="str">
        <x:f>IF(A85="","",IF('Risk Register'!Z85="","",'Risk Register'!Z85))</x:f>
      </x:c>
      <x:c r="M85" s="96" t="str">
        <x:f>IF(A85="","",IF('Risk Register'!AA85="","",'Risk Register'!AA85))</x:f>
      </x:c>
      <x:c r="N85" s="98" t="str">
        <x:f>IF(A85="","",IF('Risk Register'!AB85="","",'Risk Register'!AB85))</x:f>
      </x:c>
      <x:c r="O85" s="96" t="str">
        <x:f>IF(A85="","",IF('Risk Register'!AC85="","",'Risk Register'!AC85))</x:f>
      </x:c>
      <x:c r="P85" s="96" t="str">
        <x:f>IF(A85="","",'Risk Register'!AD85)</x:f>
      </x:c>
      <x:c r="Q85" s="96" t="str">
        <x:f>IF(A85="","",'Risk Register'!AE85)</x:f>
      </x:c>
    </x:row>
    <x:row r="86" ht="36" customHeight="1">
      <x:c r="A86" s="14" t="str">
        <x:f>IF('Risk Register'!A86="","",'Risk Register'!A86)</x:f>
      </x:c>
      <x:c r="B86" s="14" t="str">
        <x:f>IF(A86="","",'Risk Register'!D86)</x:f>
      </x:c>
      <x:c r="C86" s="14" t="str">
        <x:f>IF(A86="","",'Risk Register'!P86)</x:f>
      </x:c>
      <x:c r="D86" s="14" t="str">
        <x:f>IF(A86="","",'Risk Register'!Q86)</x:f>
      </x:c>
      <x:c r="E86" s="14" t="str">
        <x:f>IF(A86="","",'Risk Register'!S86)</x:f>
      </x:c>
      <x:c r="F86" s="14" t="str">
        <x:f>IF(A86="","",'Risk Register'!T86)</x:f>
      </x:c>
      <x:c r="G86" s="83" t="str">
        <x:f>IF(A86="","",IF(ISNUMBER('Risk Register'!U86),IF('Risk Register'!U86&gt;0,'Risk Register'!U86,""),""))</x:f>
      </x:c>
      <x:c r="H86" s="14" t="str">
        <x:f>IF(A86="","",IF(OR(F86="Closed",F86="Accepted"),"",IF(ISNUMBER('Risk Register'!U86),IF('Risk Register'!U86&gt;0,'Risk Register'!U86-TODAY(),""),"")))</x:f>
      </x:c>
      <x:c r="I86" s="14" t="str">
        <x:f>IF(A86="","",'Risk Register'!R86)</x:f>
      </x:c>
      <x:c r="J86" s="14" t="str">
        <x:f>IF(A86="","",'Risk Register'!X86)</x:f>
      </x:c>
      <x:c r="K86" s="96" t="str">
        <x:f>IF(A86="","",IF('Risk Register'!Y86="","",'Risk Register'!Y86))</x:f>
      </x:c>
      <x:c r="L86" s="96" t="str">
        <x:f>IF(A86="","",IF('Risk Register'!Z86="","",'Risk Register'!Z86))</x:f>
      </x:c>
      <x:c r="M86" s="96" t="str">
        <x:f>IF(A86="","",IF('Risk Register'!AA86="","",'Risk Register'!AA86))</x:f>
      </x:c>
      <x:c r="N86" s="98" t="str">
        <x:f>IF(A86="","",IF('Risk Register'!AB86="","",'Risk Register'!AB86))</x:f>
      </x:c>
      <x:c r="O86" s="96" t="str">
        <x:f>IF(A86="","",IF('Risk Register'!AC86="","",'Risk Register'!AC86))</x:f>
      </x:c>
      <x:c r="P86" s="96" t="str">
        <x:f>IF(A86="","",'Risk Register'!AD86)</x:f>
      </x:c>
      <x:c r="Q86" s="96" t="str">
        <x:f>IF(A86="","",'Risk Register'!AE86)</x:f>
      </x:c>
    </x:row>
    <x:row r="87" ht="36" customHeight="1">
      <x:c r="A87" s="14" t="str">
        <x:f>IF('Risk Register'!A87="","",'Risk Register'!A87)</x:f>
      </x:c>
      <x:c r="B87" s="14" t="str">
        <x:f>IF(A87="","",'Risk Register'!D87)</x:f>
      </x:c>
      <x:c r="C87" s="14" t="str">
        <x:f>IF(A87="","",'Risk Register'!P87)</x:f>
      </x:c>
      <x:c r="D87" s="14" t="str">
        <x:f>IF(A87="","",'Risk Register'!Q87)</x:f>
      </x:c>
      <x:c r="E87" s="14" t="str">
        <x:f>IF(A87="","",'Risk Register'!S87)</x:f>
      </x:c>
      <x:c r="F87" s="14" t="str">
        <x:f>IF(A87="","",'Risk Register'!T87)</x:f>
      </x:c>
      <x:c r="G87" s="83" t="str">
        <x:f>IF(A87="","",IF(ISNUMBER('Risk Register'!U87),IF('Risk Register'!U87&gt;0,'Risk Register'!U87,""),""))</x:f>
      </x:c>
      <x:c r="H87" s="14" t="str">
        <x:f>IF(A87="","",IF(OR(F87="Closed",F87="Accepted"),"",IF(ISNUMBER('Risk Register'!U87),IF('Risk Register'!U87&gt;0,'Risk Register'!U87-TODAY(),""),"")))</x:f>
      </x:c>
      <x:c r="I87" s="14" t="str">
        <x:f>IF(A87="","",'Risk Register'!R87)</x:f>
      </x:c>
      <x:c r="J87" s="14" t="str">
        <x:f>IF(A87="","",'Risk Register'!X87)</x:f>
      </x:c>
      <x:c r="K87" s="96" t="str">
        <x:f>IF(A87="","",IF('Risk Register'!Y87="","",'Risk Register'!Y87))</x:f>
      </x:c>
      <x:c r="L87" s="96" t="str">
        <x:f>IF(A87="","",IF('Risk Register'!Z87="","",'Risk Register'!Z87))</x:f>
      </x:c>
      <x:c r="M87" s="96" t="str">
        <x:f>IF(A87="","",IF('Risk Register'!AA87="","",'Risk Register'!AA87))</x:f>
      </x:c>
      <x:c r="N87" s="98" t="str">
        <x:f>IF(A87="","",IF('Risk Register'!AB87="","",'Risk Register'!AB87))</x:f>
      </x:c>
      <x:c r="O87" s="96" t="str">
        <x:f>IF(A87="","",IF('Risk Register'!AC87="","",'Risk Register'!AC87))</x:f>
      </x:c>
      <x:c r="P87" s="96" t="str">
        <x:f>IF(A87="","",'Risk Register'!AD87)</x:f>
      </x:c>
      <x:c r="Q87" s="96" t="str">
        <x:f>IF(A87="","",'Risk Register'!AE87)</x:f>
      </x:c>
    </x:row>
    <x:row r="88" ht="36" customHeight="1">
      <x:c r="A88" s="14" t="str">
        <x:f>IF('Risk Register'!A88="","",'Risk Register'!A88)</x:f>
      </x:c>
      <x:c r="B88" s="14" t="str">
        <x:f>IF(A88="","",'Risk Register'!D88)</x:f>
      </x:c>
      <x:c r="C88" s="14" t="str">
        <x:f>IF(A88="","",'Risk Register'!P88)</x:f>
      </x:c>
      <x:c r="D88" s="14" t="str">
        <x:f>IF(A88="","",'Risk Register'!Q88)</x:f>
      </x:c>
      <x:c r="E88" s="14" t="str">
        <x:f>IF(A88="","",'Risk Register'!S88)</x:f>
      </x:c>
      <x:c r="F88" s="14" t="str">
        <x:f>IF(A88="","",'Risk Register'!T88)</x:f>
      </x:c>
      <x:c r="G88" s="83" t="str">
        <x:f>IF(A88="","",IF(ISNUMBER('Risk Register'!U88),IF('Risk Register'!U88&gt;0,'Risk Register'!U88,""),""))</x:f>
      </x:c>
      <x:c r="H88" s="14" t="str">
        <x:f>IF(A88="","",IF(OR(F88="Closed",F88="Accepted"),"",IF(ISNUMBER('Risk Register'!U88),IF('Risk Register'!U88&gt;0,'Risk Register'!U88-TODAY(),""),"")))</x:f>
      </x:c>
      <x:c r="I88" s="14" t="str">
        <x:f>IF(A88="","",'Risk Register'!R88)</x:f>
      </x:c>
      <x:c r="J88" s="14" t="str">
        <x:f>IF(A88="","",'Risk Register'!X88)</x:f>
      </x:c>
      <x:c r="K88" s="96" t="str">
        <x:f>IF(A88="","",IF('Risk Register'!Y88="","",'Risk Register'!Y88))</x:f>
      </x:c>
      <x:c r="L88" s="96" t="str">
        <x:f>IF(A88="","",IF('Risk Register'!Z88="","",'Risk Register'!Z88))</x:f>
      </x:c>
      <x:c r="M88" s="96" t="str">
        <x:f>IF(A88="","",IF('Risk Register'!AA88="","",'Risk Register'!AA88))</x:f>
      </x:c>
      <x:c r="N88" s="98" t="str">
        <x:f>IF(A88="","",IF('Risk Register'!AB88="","",'Risk Register'!AB88))</x:f>
      </x:c>
      <x:c r="O88" s="96" t="str">
        <x:f>IF(A88="","",IF('Risk Register'!AC88="","",'Risk Register'!AC88))</x:f>
      </x:c>
      <x:c r="P88" s="96" t="str">
        <x:f>IF(A88="","",'Risk Register'!AD88)</x:f>
      </x:c>
      <x:c r="Q88" s="96" t="str">
        <x:f>IF(A88="","",'Risk Register'!AE88)</x:f>
      </x:c>
    </x:row>
    <x:row r="89" ht="36" customHeight="1">
      <x:c r="A89" s="14" t="str">
        <x:f>IF('Risk Register'!A89="","",'Risk Register'!A89)</x:f>
      </x:c>
      <x:c r="B89" s="14" t="str">
        <x:f>IF(A89="","",'Risk Register'!D89)</x:f>
      </x:c>
      <x:c r="C89" s="14" t="str">
        <x:f>IF(A89="","",'Risk Register'!P89)</x:f>
      </x:c>
      <x:c r="D89" s="14" t="str">
        <x:f>IF(A89="","",'Risk Register'!Q89)</x:f>
      </x:c>
      <x:c r="E89" s="14" t="str">
        <x:f>IF(A89="","",'Risk Register'!S89)</x:f>
      </x:c>
      <x:c r="F89" s="14" t="str">
        <x:f>IF(A89="","",'Risk Register'!T89)</x:f>
      </x:c>
      <x:c r="G89" s="83" t="str">
        <x:f>IF(A89="","",IF(ISNUMBER('Risk Register'!U89),IF('Risk Register'!U89&gt;0,'Risk Register'!U89,""),""))</x:f>
      </x:c>
      <x:c r="H89" s="14" t="str">
        <x:f>IF(A89="","",IF(OR(F89="Closed",F89="Accepted"),"",IF(ISNUMBER('Risk Register'!U89),IF('Risk Register'!U89&gt;0,'Risk Register'!U89-TODAY(),""),"")))</x:f>
      </x:c>
      <x:c r="I89" s="14" t="str">
        <x:f>IF(A89="","",'Risk Register'!R89)</x:f>
      </x:c>
      <x:c r="J89" s="14" t="str">
        <x:f>IF(A89="","",'Risk Register'!X89)</x:f>
      </x:c>
      <x:c r="K89" s="96" t="str">
        <x:f>IF(A89="","",IF('Risk Register'!Y89="","",'Risk Register'!Y89))</x:f>
      </x:c>
      <x:c r="L89" s="96" t="str">
        <x:f>IF(A89="","",IF('Risk Register'!Z89="","",'Risk Register'!Z89))</x:f>
      </x:c>
      <x:c r="M89" s="96" t="str">
        <x:f>IF(A89="","",IF('Risk Register'!AA89="","",'Risk Register'!AA89))</x:f>
      </x:c>
      <x:c r="N89" s="98" t="str">
        <x:f>IF(A89="","",IF('Risk Register'!AB89="","",'Risk Register'!AB89))</x:f>
      </x:c>
      <x:c r="O89" s="96" t="str">
        <x:f>IF(A89="","",IF('Risk Register'!AC89="","",'Risk Register'!AC89))</x:f>
      </x:c>
      <x:c r="P89" s="96" t="str">
        <x:f>IF(A89="","",'Risk Register'!AD89)</x:f>
      </x:c>
      <x:c r="Q89" s="96" t="str">
        <x:f>IF(A89="","",'Risk Register'!AE89)</x:f>
      </x:c>
    </x:row>
    <x:row r="90" ht="36" customHeight="1">
      <x:c r="A90" s="14" t="str">
        <x:f>IF('Risk Register'!A90="","",'Risk Register'!A90)</x:f>
      </x:c>
      <x:c r="B90" s="14" t="str">
        <x:f>IF(A90="","",'Risk Register'!D90)</x:f>
      </x:c>
      <x:c r="C90" s="14" t="str">
        <x:f>IF(A90="","",'Risk Register'!P90)</x:f>
      </x:c>
      <x:c r="D90" s="14" t="str">
        <x:f>IF(A90="","",'Risk Register'!Q90)</x:f>
      </x:c>
      <x:c r="E90" s="14" t="str">
        <x:f>IF(A90="","",'Risk Register'!S90)</x:f>
      </x:c>
      <x:c r="F90" s="14" t="str">
        <x:f>IF(A90="","",'Risk Register'!T90)</x:f>
      </x:c>
      <x:c r="G90" s="83" t="str">
        <x:f>IF(A90="","",IF(ISNUMBER('Risk Register'!U90),IF('Risk Register'!U90&gt;0,'Risk Register'!U90,""),""))</x:f>
      </x:c>
      <x:c r="H90" s="14" t="str">
        <x:f>IF(A90="","",IF(OR(F90="Closed",F90="Accepted"),"",IF(ISNUMBER('Risk Register'!U90),IF('Risk Register'!U90&gt;0,'Risk Register'!U90-TODAY(),""),"")))</x:f>
      </x:c>
      <x:c r="I90" s="14" t="str">
        <x:f>IF(A90="","",'Risk Register'!R90)</x:f>
      </x:c>
      <x:c r="J90" s="14" t="str">
        <x:f>IF(A90="","",'Risk Register'!X90)</x:f>
      </x:c>
      <x:c r="K90" s="96" t="str">
        <x:f>IF(A90="","",IF('Risk Register'!Y90="","",'Risk Register'!Y90))</x:f>
      </x:c>
      <x:c r="L90" s="96" t="str">
        <x:f>IF(A90="","",IF('Risk Register'!Z90="","",'Risk Register'!Z90))</x:f>
      </x:c>
      <x:c r="M90" s="96" t="str">
        <x:f>IF(A90="","",IF('Risk Register'!AA90="","",'Risk Register'!AA90))</x:f>
      </x:c>
      <x:c r="N90" s="98" t="str">
        <x:f>IF(A90="","",IF('Risk Register'!AB90="","",'Risk Register'!AB90))</x:f>
      </x:c>
      <x:c r="O90" s="96" t="str">
        <x:f>IF(A90="","",IF('Risk Register'!AC90="","",'Risk Register'!AC90))</x:f>
      </x:c>
      <x:c r="P90" s="96" t="str">
        <x:f>IF(A90="","",'Risk Register'!AD90)</x:f>
      </x:c>
      <x:c r="Q90" s="96" t="str">
        <x:f>IF(A90="","",'Risk Register'!AE90)</x:f>
      </x:c>
    </x:row>
    <x:row r="91" ht="36" customHeight="1">
      <x:c r="A91" s="14" t="str">
        <x:f>IF('Risk Register'!A91="","",'Risk Register'!A91)</x:f>
      </x:c>
      <x:c r="B91" s="14" t="str">
        <x:f>IF(A91="","",'Risk Register'!D91)</x:f>
      </x:c>
      <x:c r="C91" s="14" t="str">
        <x:f>IF(A91="","",'Risk Register'!P91)</x:f>
      </x:c>
      <x:c r="D91" s="14" t="str">
        <x:f>IF(A91="","",'Risk Register'!Q91)</x:f>
      </x:c>
      <x:c r="E91" s="14" t="str">
        <x:f>IF(A91="","",'Risk Register'!S91)</x:f>
      </x:c>
      <x:c r="F91" s="14" t="str">
        <x:f>IF(A91="","",'Risk Register'!T91)</x:f>
      </x:c>
      <x:c r="G91" s="83" t="str">
        <x:f>IF(A91="","",IF(ISNUMBER('Risk Register'!U91),IF('Risk Register'!U91&gt;0,'Risk Register'!U91,""),""))</x:f>
      </x:c>
      <x:c r="H91" s="14" t="str">
        <x:f>IF(A91="","",IF(OR(F91="Closed",F91="Accepted"),"",IF(ISNUMBER('Risk Register'!U91),IF('Risk Register'!U91&gt;0,'Risk Register'!U91-TODAY(),""),"")))</x:f>
      </x:c>
      <x:c r="I91" s="14" t="str">
        <x:f>IF(A91="","",'Risk Register'!R91)</x:f>
      </x:c>
      <x:c r="J91" s="14" t="str">
        <x:f>IF(A91="","",'Risk Register'!X91)</x:f>
      </x:c>
      <x:c r="K91" s="96" t="str">
        <x:f>IF(A91="","",IF('Risk Register'!Y91="","",'Risk Register'!Y91))</x:f>
      </x:c>
      <x:c r="L91" s="96" t="str">
        <x:f>IF(A91="","",IF('Risk Register'!Z91="","",'Risk Register'!Z91))</x:f>
      </x:c>
      <x:c r="M91" s="96" t="str">
        <x:f>IF(A91="","",IF('Risk Register'!AA91="","",'Risk Register'!AA91))</x:f>
      </x:c>
      <x:c r="N91" s="98" t="str">
        <x:f>IF(A91="","",IF('Risk Register'!AB91="","",'Risk Register'!AB91))</x:f>
      </x:c>
      <x:c r="O91" s="96" t="str">
        <x:f>IF(A91="","",IF('Risk Register'!AC91="","",'Risk Register'!AC91))</x:f>
      </x:c>
      <x:c r="P91" s="96" t="str">
        <x:f>IF(A91="","",'Risk Register'!AD91)</x:f>
      </x:c>
      <x:c r="Q91" s="96" t="str">
        <x:f>IF(A91="","",'Risk Register'!AE91)</x:f>
      </x:c>
    </x:row>
    <x:row r="92" ht="36" customHeight="1">
      <x:c r="A92" s="14" t="str">
        <x:f>IF('Risk Register'!A92="","",'Risk Register'!A92)</x:f>
      </x:c>
      <x:c r="B92" s="14" t="str">
        <x:f>IF(A92="","",'Risk Register'!D92)</x:f>
      </x:c>
      <x:c r="C92" s="14" t="str">
        <x:f>IF(A92="","",'Risk Register'!P92)</x:f>
      </x:c>
      <x:c r="D92" s="14" t="str">
        <x:f>IF(A92="","",'Risk Register'!Q92)</x:f>
      </x:c>
      <x:c r="E92" s="14" t="str">
        <x:f>IF(A92="","",'Risk Register'!S92)</x:f>
      </x:c>
      <x:c r="F92" s="14" t="str">
        <x:f>IF(A92="","",'Risk Register'!T92)</x:f>
      </x:c>
      <x:c r="G92" s="83" t="str">
        <x:f>IF(A92="","",IF(ISNUMBER('Risk Register'!U92),IF('Risk Register'!U92&gt;0,'Risk Register'!U92,""),""))</x:f>
      </x:c>
      <x:c r="H92" s="14" t="str">
        <x:f>IF(A92="","",IF(OR(F92="Closed",F92="Accepted"),"",IF(ISNUMBER('Risk Register'!U92),IF('Risk Register'!U92&gt;0,'Risk Register'!U92-TODAY(),""),"")))</x:f>
      </x:c>
      <x:c r="I92" s="14" t="str">
        <x:f>IF(A92="","",'Risk Register'!R92)</x:f>
      </x:c>
      <x:c r="J92" s="14" t="str">
        <x:f>IF(A92="","",'Risk Register'!X92)</x:f>
      </x:c>
      <x:c r="K92" s="96" t="str">
        <x:f>IF(A92="","",IF('Risk Register'!Y92="","",'Risk Register'!Y92))</x:f>
      </x:c>
      <x:c r="L92" s="96" t="str">
        <x:f>IF(A92="","",IF('Risk Register'!Z92="","",'Risk Register'!Z92))</x:f>
      </x:c>
      <x:c r="M92" s="96" t="str">
        <x:f>IF(A92="","",IF('Risk Register'!AA92="","",'Risk Register'!AA92))</x:f>
      </x:c>
      <x:c r="N92" s="98" t="str">
        <x:f>IF(A92="","",IF('Risk Register'!AB92="","",'Risk Register'!AB92))</x:f>
      </x:c>
      <x:c r="O92" s="96" t="str">
        <x:f>IF(A92="","",IF('Risk Register'!AC92="","",'Risk Register'!AC92))</x:f>
      </x:c>
      <x:c r="P92" s="96" t="str">
        <x:f>IF(A92="","",'Risk Register'!AD92)</x:f>
      </x:c>
      <x:c r="Q92" s="96" t="str">
        <x:f>IF(A92="","",'Risk Register'!AE92)</x:f>
      </x:c>
    </x:row>
    <x:row r="93" ht="36" customHeight="1">
      <x:c r="A93" s="14" t="str">
        <x:f>IF('Risk Register'!A93="","",'Risk Register'!A93)</x:f>
      </x:c>
      <x:c r="B93" s="14" t="str">
        <x:f>IF(A93="","",'Risk Register'!D93)</x:f>
      </x:c>
      <x:c r="C93" s="14" t="str">
        <x:f>IF(A93="","",'Risk Register'!P93)</x:f>
      </x:c>
      <x:c r="D93" s="14" t="str">
        <x:f>IF(A93="","",'Risk Register'!Q93)</x:f>
      </x:c>
      <x:c r="E93" s="14" t="str">
        <x:f>IF(A93="","",'Risk Register'!S93)</x:f>
      </x:c>
      <x:c r="F93" s="14" t="str">
        <x:f>IF(A93="","",'Risk Register'!T93)</x:f>
      </x:c>
      <x:c r="G93" s="83" t="str">
        <x:f>IF(A93="","",IF(ISNUMBER('Risk Register'!U93),IF('Risk Register'!U93&gt;0,'Risk Register'!U93,""),""))</x:f>
      </x:c>
      <x:c r="H93" s="14" t="str">
        <x:f>IF(A93="","",IF(OR(F93="Closed",F93="Accepted"),"",IF(ISNUMBER('Risk Register'!U93),IF('Risk Register'!U93&gt;0,'Risk Register'!U93-TODAY(),""),"")))</x:f>
      </x:c>
      <x:c r="I93" s="14" t="str">
        <x:f>IF(A93="","",'Risk Register'!R93)</x:f>
      </x:c>
      <x:c r="J93" s="14" t="str">
        <x:f>IF(A93="","",'Risk Register'!X93)</x:f>
      </x:c>
      <x:c r="K93" s="96" t="str">
        <x:f>IF(A93="","",IF('Risk Register'!Y93="","",'Risk Register'!Y93))</x:f>
      </x:c>
      <x:c r="L93" s="96" t="str">
        <x:f>IF(A93="","",IF('Risk Register'!Z93="","",'Risk Register'!Z93))</x:f>
      </x:c>
      <x:c r="M93" s="96" t="str">
        <x:f>IF(A93="","",IF('Risk Register'!AA93="","",'Risk Register'!AA93))</x:f>
      </x:c>
      <x:c r="N93" s="98" t="str">
        <x:f>IF(A93="","",IF('Risk Register'!AB93="","",'Risk Register'!AB93))</x:f>
      </x:c>
      <x:c r="O93" s="96" t="str">
        <x:f>IF(A93="","",IF('Risk Register'!AC93="","",'Risk Register'!AC93))</x:f>
      </x:c>
      <x:c r="P93" s="96" t="str">
        <x:f>IF(A93="","",'Risk Register'!AD93)</x:f>
      </x:c>
      <x:c r="Q93" s="96" t="str">
        <x:f>IF(A93="","",'Risk Register'!AE93)</x:f>
      </x:c>
    </x:row>
    <x:row r="94" ht="36" customHeight="1">
      <x:c r="A94" s="14" t="str">
        <x:f>IF('Risk Register'!A94="","",'Risk Register'!A94)</x:f>
      </x:c>
      <x:c r="B94" s="14" t="str">
        <x:f>IF(A94="","",'Risk Register'!D94)</x:f>
      </x:c>
      <x:c r="C94" s="14" t="str">
        <x:f>IF(A94="","",'Risk Register'!P94)</x:f>
      </x:c>
      <x:c r="D94" s="14" t="str">
        <x:f>IF(A94="","",'Risk Register'!Q94)</x:f>
      </x:c>
      <x:c r="E94" s="14" t="str">
        <x:f>IF(A94="","",'Risk Register'!S94)</x:f>
      </x:c>
      <x:c r="F94" s="14" t="str">
        <x:f>IF(A94="","",'Risk Register'!T94)</x:f>
      </x:c>
      <x:c r="G94" s="83" t="str">
        <x:f>IF(A94="","",IF(ISNUMBER('Risk Register'!U94),IF('Risk Register'!U94&gt;0,'Risk Register'!U94,""),""))</x:f>
      </x:c>
      <x:c r="H94" s="14" t="str">
        <x:f>IF(A94="","",IF(OR(F94="Closed",F94="Accepted"),"",IF(ISNUMBER('Risk Register'!U94),IF('Risk Register'!U94&gt;0,'Risk Register'!U94-TODAY(),""),"")))</x:f>
      </x:c>
      <x:c r="I94" s="14" t="str">
        <x:f>IF(A94="","",'Risk Register'!R94)</x:f>
      </x:c>
      <x:c r="J94" s="14" t="str">
        <x:f>IF(A94="","",'Risk Register'!X94)</x:f>
      </x:c>
      <x:c r="K94" s="96" t="str">
        <x:f>IF(A94="","",IF('Risk Register'!Y94="","",'Risk Register'!Y94))</x:f>
      </x:c>
      <x:c r="L94" s="96" t="str">
        <x:f>IF(A94="","",IF('Risk Register'!Z94="","",'Risk Register'!Z94))</x:f>
      </x:c>
      <x:c r="M94" s="96" t="str">
        <x:f>IF(A94="","",IF('Risk Register'!AA94="","",'Risk Register'!AA94))</x:f>
      </x:c>
      <x:c r="N94" s="98" t="str">
        <x:f>IF(A94="","",IF('Risk Register'!AB94="","",'Risk Register'!AB94))</x:f>
      </x:c>
      <x:c r="O94" s="96" t="str">
        <x:f>IF(A94="","",IF('Risk Register'!AC94="","",'Risk Register'!AC94))</x:f>
      </x:c>
      <x:c r="P94" s="96" t="str">
        <x:f>IF(A94="","",'Risk Register'!AD94)</x:f>
      </x:c>
      <x:c r="Q94" s="96" t="str">
        <x:f>IF(A94="","",'Risk Register'!AE94)</x:f>
      </x:c>
    </x:row>
    <x:row r="95" ht="36" customHeight="1">
      <x:c r="A95" s="14" t="str">
        <x:f>IF('Risk Register'!A95="","",'Risk Register'!A95)</x:f>
      </x:c>
      <x:c r="B95" s="14" t="str">
        <x:f>IF(A95="","",'Risk Register'!D95)</x:f>
      </x:c>
      <x:c r="C95" s="14" t="str">
        <x:f>IF(A95="","",'Risk Register'!P95)</x:f>
      </x:c>
      <x:c r="D95" s="14" t="str">
        <x:f>IF(A95="","",'Risk Register'!Q95)</x:f>
      </x:c>
      <x:c r="E95" s="14" t="str">
        <x:f>IF(A95="","",'Risk Register'!S95)</x:f>
      </x:c>
      <x:c r="F95" s="14" t="str">
        <x:f>IF(A95="","",'Risk Register'!T95)</x:f>
      </x:c>
      <x:c r="G95" s="83" t="str">
        <x:f>IF(A95="","",IF(ISNUMBER('Risk Register'!U95),IF('Risk Register'!U95&gt;0,'Risk Register'!U95,""),""))</x:f>
      </x:c>
      <x:c r="H95" s="14" t="str">
        <x:f>IF(A95="","",IF(OR(F95="Closed",F95="Accepted"),"",IF(ISNUMBER('Risk Register'!U95),IF('Risk Register'!U95&gt;0,'Risk Register'!U95-TODAY(),""),"")))</x:f>
      </x:c>
      <x:c r="I95" s="14" t="str">
        <x:f>IF(A95="","",'Risk Register'!R95)</x:f>
      </x:c>
      <x:c r="J95" s="14" t="str">
        <x:f>IF(A95="","",'Risk Register'!X95)</x:f>
      </x:c>
      <x:c r="K95" s="96" t="str">
        <x:f>IF(A95="","",IF('Risk Register'!Y95="","",'Risk Register'!Y95))</x:f>
      </x:c>
      <x:c r="L95" s="96" t="str">
        <x:f>IF(A95="","",IF('Risk Register'!Z95="","",'Risk Register'!Z95))</x:f>
      </x:c>
      <x:c r="M95" s="96" t="str">
        <x:f>IF(A95="","",IF('Risk Register'!AA95="","",'Risk Register'!AA95))</x:f>
      </x:c>
      <x:c r="N95" s="98" t="str">
        <x:f>IF(A95="","",IF('Risk Register'!AB95="","",'Risk Register'!AB95))</x:f>
      </x:c>
      <x:c r="O95" s="96" t="str">
        <x:f>IF(A95="","",IF('Risk Register'!AC95="","",'Risk Register'!AC95))</x:f>
      </x:c>
      <x:c r="P95" s="96" t="str">
        <x:f>IF(A95="","",'Risk Register'!AD95)</x:f>
      </x:c>
      <x:c r="Q95" s="96" t="str">
        <x:f>IF(A95="","",'Risk Register'!AE95)</x:f>
      </x:c>
    </x:row>
    <x:row r="96" ht="36" customHeight="1">
      <x:c r="A96" s="14" t="str">
        <x:f>IF('Risk Register'!A96="","",'Risk Register'!A96)</x:f>
      </x:c>
      <x:c r="B96" s="14" t="str">
        <x:f>IF(A96="","",'Risk Register'!D96)</x:f>
      </x:c>
      <x:c r="C96" s="14" t="str">
        <x:f>IF(A96="","",'Risk Register'!P96)</x:f>
      </x:c>
      <x:c r="D96" s="14" t="str">
        <x:f>IF(A96="","",'Risk Register'!Q96)</x:f>
      </x:c>
      <x:c r="E96" s="14" t="str">
        <x:f>IF(A96="","",'Risk Register'!S96)</x:f>
      </x:c>
      <x:c r="F96" s="14" t="str">
        <x:f>IF(A96="","",'Risk Register'!T96)</x:f>
      </x:c>
      <x:c r="G96" s="83" t="str">
        <x:f>IF(A96="","",IF(ISNUMBER('Risk Register'!U96),IF('Risk Register'!U96&gt;0,'Risk Register'!U96,""),""))</x:f>
      </x:c>
      <x:c r="H96" s="14" t="str">
        <x:f>IF(A96="","",IF(OR(F96="Closed",F96="Accepted"),"",IF(ISNUMBER('Risk Register'!U96),IF('Risk Register'!U96&gt;0,'Risk Register'!U96-TODAY(),""),"")))</x:f>
      </x:c>
      <x:c r="I96" s="14" t="str">
        <x:f>IF(A96="","",'Risk Register'!R96)</x:f>
      </x:c>
      <x:c r="J96" s="14" t="str">
        <x:f>IF(A96="","",'Risk Register'!X96)</x:f>
      </x:c>
      <x:c r="K96" s="96" t="str">
        <x:f>IF(A96="","",IF('Risk Register'!Y96="","",'Risk Register'!Y96))</x:f>
      </x:c>
      <x:c r="L96" s="96" t="str">
        <x:f>IF(A96="","",IF('Risk Register'!Z96="","",'Risk Register'!Z96))</x:f>
      </x:c>
      <x:c r="M96" s="96" t="str">
        <x:f>IF(A96="","",IF('Risk Register'!AA96="","",'Risk Register'!AA96))</x:f>
      </x:c>
      <x:c r="N96" s="98" t="str">
        <x:f>IF(A96="","",IF('Risk Register'!AB96="","",'Risk Register'!AB96))</x:f>
      </x:c>
      <x:c r="O96" s="96" t="str">
        <x:f>IF(A96="","",IF('Risk Register'!AC96="","",'Risk Register'!AC96))</x:f>
      </x:c>
      <x:c r="P96" s="96" t="str">
        <x:f>IF(A96="","",'Risk Register'!AD96)</x:f>
      </x:c>
      <x:c r="Q96" s="96" t="str">
        <x:f>IF(A96="","",'Risk Register'!AE96)</x:f>
      </x:c>
    </x:row>
    <x:row r="97" ht="36" customHeight="1">
      <x:c r="A97" s="14" t="str">
        <x:f>IF('Risk Register'!A97="","",'Risk Register'!A97)</x:f>
      </x:c>
      <x:c r="B97" s="14" t="str">
        <x:f>IF(A97="","",'Risk Register'!D97)</x:f>
      </x:c>
      <x:c r="C97" s="14" t="str">
        <x:f>IF(A97="","",'Risk Register'!P97)</x:f>
      </x:c>
      <x:c r="D97" s="14" t="str">
        <x:f>IF(A97="","",'Risk Register'!Q97)</x:f>
      </x:c>
      <x:c r="E97" s="14" t="str">
        <x:f>IF(A97="","",'Risk Register'!S97)</x:f>
      </x:c>
      <x:c r="F97" s="14" t="str">
        <x:f>IF(A97="","",'Risk Register'!T97)</x:f>
      </x:c>
      <x:c r="G97" s="83" t="str">
        <x:f>IF(A97="","",IF(ISNUMBER('Risk Register'!U97),IF('Risk Register'!U97&gt;0,'Risk Register'!U97,""),""))</x:f>
      </x:c>
      <x:c r="H97" s="14" t="str">
        <x:f>IF(A97="","",IF(OR(F97="Closed",F97="Accepted"),"",IF(ISNUMBER('Risk Register'!U97),IF('Risk Register'!U97&gt;0,'Risk Register'!U97-TODAY(),""),"")))</x:f>
      </x:c>
      <x:c r="I97" s="14" t="str">
        <x:f>IF(A97="","",'Risk Register'!R97)</x:f>
      </x:c>
      <x:c r="J97" s="14" t="str">
        <x:f>IF(A97="","",'Risk Register'!X97)</x:f>
      </x:c>
      <x:c r="K97" s="96" t="str">
        <x:f>IF(A97="","",IF('Risk Register'!Y97="","",'Risk Register'!Y97))</x:f>
      </x:c>
      <x:c r="L97" s="96" t="str">
        <x:f>IF(A97="","",IF('Risk Register'!Z97="","",'Risk Register'!Z97))</x:f>
      </x:c>
      <x:c r="M97" s="96" t="str">
        <x:f>IF(A97="","",IF('Risk Register'!AA97="","",'Risk Register'!AA97))</x:f>
      </x:c>
      <x:c r="N97" s="98" t="str">
        <x:f>IF(A97="","",IF('Risk Register'!AB97="","",'Risk Register'!AB97))</x:f>
      </x:c>
      <x:c r="O97" s="96" t="str">
        <x:f>IF(A97="","",IF('Risk Register'!AC97="","",'Risk Register'!AC97))</x:f>
      </x:c>
      <x:c r="P97" s="96" t="str">
        <x:f>IF(A97="","",'Risk Register'!AD97)</x:f>
      </x:c>
      <x:c r="Q97" s="96" t="str">
        <x:f>IF(A97="","",'Risk Register'!AE97)</x:f>
      </x:c>
    </x:row>
    <x:row r="98" ht="36" customHeight="1">
      <x:c r="A98" s="14" t="str">
        <x:f>IF('Risk Register'!A98="","",'Risk Register'!A98)</x:f>
      </x:c>
      <x:c r="B98" s="14" t="str">
        <x:f>IF(A98="","",'Risk Register'!D98)</x:f>
      </x:c>
      <x:c r="C98" s="14" t="str">
        <x:f>IF(A98="","",'Risk Register'!P98)</x:f>
      </x:c>
      <x:c r="D98" s="14" t="str">
        <x:f>IF(A98="","",'Risk Register'!Q98)</x:f>
      </x:c>
      <x:c r="E98" s="14" t="str">
        <x:f>IF(A98="","",'Risk Register'!S98)</x:f>
      </x:c>
      <x:c r="F98" s="14" t="str">
        <x:f>IF(A98="","",'Risk Register'!T98)</x:f>
      </x:c>
      <x:c r="G98" s="83" t="str">
        <x:f>IF(A98="","",IF(ISNUMBER('Risk Register'!U98),IF('Risk Register'!U98&gt;0,'Risk Register'!U98,""),""))</x:f>
      </x:c>
      <x:c r="H98" s="14" t="str">
        <x:f>IF(A98="","",IF(OR(F98="Closed",F98="Accepted"),"",IF(ISNUMBER('Risk Register'!U98),IF('Risk Register'!U98&gt;0,'Risk Register'!U98-TODAY(),""),"")))</x:f>
      </x:c>
      <x:c r="I98" s="14" t="str">
        <x:f>IF(A98="","",'Risk Register'!R98)</x:f>
      </x:c>
      <x:c r="J98" s="14" t="str">
        <x:f>IF(A98="","",'Risk Register'!X98)</x:f>
      </x:c>
      <x:c r="K98" s="96" t="str">
        <x:f>IF(A98="","",IF('Risk Register'!Y98="","",'Risk Register'!Y98))</x:f>
      </x:c>
      <x:c r="L98" s="96" t="str">
        <x:f>IF(A98="","",IF('Risk Register'!Z98="","",'Risk Register'!Z98))</x:f>
      </x:c>
      <x:c r="M98" s="96" t="str">
        <x:f>IF(A98="","",IF('Risk Register'!AA98="","",'Risk Register'!AA98))</x:f>
      </x:c>
      <x:c r="N98" s="98" t="str">
        <x:f>IF(A98="","",IF('Risk Register'!AB98="","",'Risk Register'!AB98))</x:f>
      </x:c>
      <x:c r="O98" s="96" t="str">
        <x:f>IF(A98="","",IF('Risk Register'!AC98="","",'Risk Register'!AC98))</x:f>
      </x:c>
      <x:c r="P98" s="96" t="str">
        <x:f>IF(A98="","",'Risk Register'!AD98)</x:f>
      </x:c>
      <x:c r="Q98" s="96" t="str">
        <x:f>IF(A98="","",'Risk Register'!AE98)</x:f>
      </x:c>
    </x:row>
    <x:row r="99" ht="36" customHeight="1">
      <x:c r="A99" s="14" t="str">
        <x:f>IF('Risk Register'!A99="","",'Risk Register'!A99)</x:f>
      </x:c>
      <x:c r="B99" s="14" t="str">
        <x:f>IF(A99="","",'Risk Register'!D99)</x:f>
      </x:c>
      <x:c r="C99" s="14" t="str">
        <x:f>IF(A99="","",'Risk Register'!P99)</x:f>
      </x:c>
      <x:c r="D99" s="14" t="str">
        <x:f>IF(A99="","",'Risk Register'!Q99)</x:f>
      </x:c>
      <x:c r="E99" s="14" t="str">
        <x:f>IF(A99="","",'Risk Register'!S99)</x:f>
      </x:c>
      <x:c r="F99" s="14" t="str">
        <x:f>IF(A99="","",'Risk Register'!T99)</x:f>
      </x:c>
      <x:c r="G99" s="83" t="str">
        <x:f>IF(A99="","",IF(ISNUMBER('Risk Register'!U99),IF('Risk Register'!U99&gt;0,'Risk Register'!U99,""),""))</x:f>
      </x:c>
      <x:c r="H99" s="14" t="str">
        <x:f>IF(A99="","",IF(OR(F99="Closed",F99="Accepted"),"",IF(ISNUMBER('Risk Register'!U99),IF('Risk Register'!U99&gt;0,'Risk Register'!U99-TODAY(),""),"")))</x:f>
      </x:c>
      <x:c r="I99" s="14" t="str">
        <x:f>IF(A99="","",'Risk Register'!R99)</x:f>
      </x:c>
      <x:c r="J99" s="14" t="str">
        <x:f>IF(A99="","",'Risk Register'!X99)</x:f>
      </x:c>
      <x:c r="K99" s="96" t="str">
        <x:f>IF(A99="","",IF('Risk Register'!Y99="","",'Risk Register'!Y99))</x:f>
      </x:c>
      <x:c r="L99" s="96" t="str">
        <x:f>IF(A99="","",IF('Risk Register'!Z99="","",'Risk Register'!Z99))</x:f>
      </x:c>
      <x:c r="M99" s="96" t="str">
        <x:f>IF(A99="","",IF('Risk Register'!AA99="","",'Risk Register'!AA99))</x:f>
      </x:c>
      <x:c r="N99" s="98" t="str">
        <x:f>IF(A99="","",IF('Risk Register'!AB99="","",'Risk Register'!AB99))</x:f>
      </x:c>
      <x:c r="O99" s="96" t="str">
        <x:f>IF(A99="","",IF('Risk Register'!AC99="","",'Risk Register'!AC99))</x:f>
      </x:c>
      <x:c r="P99" s="96" t="str">
        <x:f>IF(A99="","",'Risk Register'!AD99)</x:f>
      </x:c>
      <x:c r="Q99" s="96" t="str">
        <x:f>IF(A99="","",'Risk Register'!AE99)</x:f>
      </x:c>
    </x:row>
    <x:row r="100" ht="36" customHeight="1">
      <x:c r="A100" s="14" t="str">
        <x:f>IF('Risk Register'!A100="","",'Risk Register'!A100)</x:f>
      </x:c>
      <x:c r="B100" s="14" t="str">
        <x:f>IF(A100="","",'Risk Register'!D100)</x:f>
      </x:c>
      <x:c r="C100" s="14" t="str">
        <x:f>IF(A100="","",'Risk Register'!P100)</x:f>
      </x:c>
      <x:c r="D100" s="14" t="str">
        <x:f>IF(A100="","",'Risk Register'!Q100)</x:f>
      </x:c>
      <x:c r="E100" s="14" t="str">
        <x:f>IF(A100="","",'Risk Register'!S100)</x:f>
      </x:c>
      <x:c r="F100" s="14" t="str">
        <x:f>IF(A100="","",'Risk Register'!T100)</x:f>
      </x:c>
      <x:c r="G100" s="83" t="str">
        <x:f>IF(A100="","",IF(ISNUMBER('Risk Register'!U100),IF('Risk Register'!U100&gt;0,'Risk Register'!U100,""),""))</x:f>
      </x:c>
      <x:c r="H100" s="14" t="str">
        <x:f>IF(A100="","",IF(OR(F100="Closed",F100="Accepted"),"",IF(ISNUMBER('Risk Register'!U100),IF('Risk Register'!U100&gt;0,'Risk Register'!U100-TODAY(),""),"")))</x:f>
      </x:c>
      <x:c r="I100" s="14" t="str">
        <x:f>IF(A100="","",'Risk Register'!R100)</x:f>
      </x:c>
      <x:c r="J100" s="14" t="str">
        <x:f>IF(A100="","",'Risk Register'!X100)</x:f>
      </x:c>
      <x:c r="K100" s="96" t="str">
        <x:f>IF(A100="","",IF('Risk Register'!Y100="","",'Risk Register'!Y100))</x:f>
      </x:c>
      <x:c r="L100" s="96" t="str">
        <x:f>IF(A100="","",IF('Risk Register'!Z100="","",'Risk Register'!Z100))</x:f>
      </x:c>
      <x:c r="M100" s="96" t="str">
        <x:f>IF(A100="","",IF('Risk Register'!AA100="","",'Risk Register'!AA100))</x:f>
      </x:c>
      <x:c r="N100" s="98" t="str">
        <x:f>IF(A100="","",IF('Risk Register'!AB100="","",'Risk Register'!AB100))</x:f>
      </x:c>
      <x:c r="O100" s="96" t="str">
        <x:f>IF(A100="","",IF('Risk Register'!AC100="","",'Risk Register'!AC100))</x:f>
      </x:c>
      <x:c r="P100" s="96" t="str">
        <x:f>IF(A100="","",'Risk Register'!AD100)</x:f>
      </x:c>
      <x:c r="Q100" s="96" t="str">
        <x:f>IF(A100="","",'Risk Register'!AE100)</x:f>
      </x:c>
    </x:row>
    <x:row r="101" ht="36" customHeight="1">
      <x:c r="A101" s="14" t="str">
        <x:f>IF('Risk Register'!A101="","",'Risk Register'!A101)</x:f>
      </x:c>
      <x:c r="B101" s="14" t="str">
        <x:f>IF(A101="","",'Risk Register'!D101)</x:f>
      </x:c>
      <x:c r="C101" s="14" t="str">
        <x:f>IF(A101="","",'Risk Register'!P101)</x:f>
      </x:c>
      <x:c r="D101" s="14" t="str">
        <x:f>IF(A101="","",'Risk Register'!Q101)</x:f>
      </x:c>
      <x:c r="E101" s="14" t="str">
        <x:f>IF(A101="","",'Risk Register'!S101)</x:f>
      </x:c>
      <x:c r="F101" s="14" t="str">
        <x:f>IF(A101="","",'Risk Register'!T101)</x:f>
      </x:c>
      <x:c r="G101" s="83" t="str">
        <x:f>IF(A101="","",IF(ISNUMBER('Risk Register'!U101),IF('Risk Register'!U101&gt;0,'Risk Register'!U101,""),""))</x:f>
      </x:c>
      <x:c r="H101" s="14" t="str">
        <x:f>IF(A101="","",IF(OR(F101="Closed",F101="Accepted"),"",IF(ISNUMBER('Risk Register'!U101),IF('Risk Register'!U101&gt;0,'Risk Register'!U101-TODAY(),""),"")))</x:f>
      </x:c>
      <x:c r="I101" s="14" t="str">
        <x:f>IF(A101="","",'Risk Register'!R101)</x:f>
      </x:c>
      <x:c r="J101" s="14" t="str">
        <x:f>IF(A101="","",'Risk Register'!X101)</x:f>
      </x:c>
      <x:c r="K101" s="96" t="str">
        <x:f>IF(A101="","",IF('Risk Register'!Y101="","",'Risk Register'!Y101))</x:f>
      </x:c>
      <x:c r="L101" s="96" t="str">
        <x:f>IF(A101="","",IF('Risk Register'!Z101="","",'Risk Register'!Z101))</x:f>
      </x:c>
      <x:c r="M101" s="96" t="str">
        <x:f>IF(A101="","",IF('Risk Register'!AA101="","",'Risk Register'!AA101))</x:f>
      </x:c>
      <x:c r="N101" s="98" t="str">
        <x:f>IF(A101="","",IF('Risk Register'!AB101="","",'Risk Register'!AB101))</x:f>
      </x:c>
      <x:c r="O101" s="96" t="str">
        <x:f>IF(A101="","",IF('Risk Register'!AC101="","",'Risk Register'!AC101))</x:f>
      </x:c>
      <x:c r="P101" s="96" t="str">
        <x:f>IF(A101="","",'Risk Register'!AD101)</x:f>
      </x:c>
      <x:c r="Q101" s="96" t="str">
        <x:f>IF(A101="","",'Risk Register'!AE101)</x:f>
      </x:c>
    </x:row>
    <x:row r="102" ht="36" customHeight="1">
      <x:c r="A102" s="14" t="str">
        <x:f>IF('Risk Register'!A102="","",'Risk Register'!A102)</x:f>
      </x:c>
      <x:c r="B102" s="14" t="str">
        <x:f>IF(A102="","",'Risk Register'!D102)</x:f>
      </x:c>
      <x:c r="C102" s="14" t="str">
        <x:f>IF(A102="","",'Risk Register'!P102)</x:f>
      </x:c>
      <x:c r="D102" s="14" t="str">
        <x:f>IF(A102="","",'Risk Register'!Q102)</x:f>
      </x:c>
      <x:c r="E102" s="14" t="str">
        <x:f>IF(A102="","",'Risk Register'!S102)</x:f>
      </x:c>
      <x:c r="F102" s="14" t="str">
        <x:f>IF(A102="","",'Risk Register'!T102)</x:f>
      </x:c>
      <x:c r="G102" s="83" t="str">
        <x:f>IF(A102="","",IF(ISNUMBER('Risk Register'!U102),IF('Risk Register'!U102&gt;0,'Risk Register'!U102,""),""))</x:f>
      </x:c>
      <x:c r="H102" s="14" t="str">
        <x:f>IF(A102="","",IF(OR(F102="Closed",F102="Accepted"),"",IF(ISNUMBER('Risk Register'!U102),IF('Risk Register'!U102&gt;0,'Risk Register'!U102-TODAY(),""),"")))</x:f>
      </x:c>
      <x:c r="I102" s="14" t="str">
        <x:f>IF(A102="","",'Risk Register'!R102)</x:f>
      </x:c>
      <x:c r="J102" s="14" t="str">
        <x:f>IF(A102="","",'Risk Register'!X102)</x:f>
      </x:c>
      <x:c r="K102" s="96" t="str">
        <x:f>IF(A102="","",IF('Risk Register'!Y102="","",'Risk Register'!Y102))</x:f>
      </x:c>
      <x:c r="L102" s="96" t="str">
        <x:f>IF(A102="","",IF('Risk Register'!Z102="","",'Risk Register'!Z102))</x:f>
      </x:c>
      <x:c r="M102" s="96" t="str">
        <x:f>IF(A102="","",IF('Risk Register'!AA102="","",'Risk Register'!AA102))</x:f>
      </x:c>
      <x:c r="N102" s="98" t="str">
        <x:f>IF(A102="","",IF('Risk Register'!AB102="","",'Risk Register'!AB102))</x:f>
      </x:c>
      <x:c r="O102" s="96" t="str">
        <x:f>IF(A102="","",IF('Risk Register'!AC102="","",'Risk Register'!AC102))</x:f>
      </x:c>
      <x:c r="P102" s="96" t="str">
        <x:f>IF(A102="","",'Risk Register'!AD102)</x:f>
      </x:c>
      <x:c r="Q102" s="96" t="str">
        <x:f>IF(A102="","",'Risk Register'!AE102)</x:f>
      </x:c>
    </x:row>
    <x:row r="103" ht="36" customHeight="1">
      <x:c r="A103" s="14" t="str">
        <x:f>IF('Risk Register'!A103="","",'Risk Register'!A103)</x:f>
      </x:c>
      <x:c r="B103" s="14" t="str">
        <x:f>IF(A103="","",'Risk Register'!D103)</x:f>
      </x:c>
      <x:c r="C103" s="14" t="str">
        <x:f>IF(A103="","",'Risk Register'!P103)</x:f>
      </x:c>
      <x:c r="D103" s="14" t="str">
        <x:f>IF(A103="","",'Risk Register'!Q103)</x:f>
      </x:c>
      <x:c r="E103" s="14" t="str">
        <x:f>IF(A103="","",'Risk Register'!S103)</x:f>
      </x:c>
      <x:c r="F103" s="14" t="str">
        <x:f>IF(A103="","",'Risk Register'!T103)</x:f>
      </x:c>
      <x:c r="G103" s="83" t="str">
        <x:f>IF(A103="","",IF(ISNUMBER('Risk Register'!U103),IF('Risk Register'!U103&gt;0,'Risk Register'!U103,""),""))</x:f>
      </x:c>
      <x:c r="H103" s="14" t="str">
        <x:f>IF(A103="","",IF(OR(F103="Closed",F103="Accepted"),"",IF(ISNUMBER('Risk Register'!U103),IF('Risk Register'!U103&gt;0,'Risk Register'!U103-TODAY(),""),"")))</x:f>
      </x:c>
      <x:c r="I103" s="14" t="str">
        <x:f>IF(A103="","",'Risk Register'!R103)</x:f>
      </x:c>
      <x:c r="J103" s="14" t="str">
        <x:f>IF(A103="","",'Risk Register'!X103)</x:f>
      </x:c>
      <x:c r="K103" s="96" t="str">
        <x:f>IF(A103="","",IF('Risk Register'!Y103="","",'Risk Register'!Y103))</x:f>
      </x:c>
      <x:c r="L103" s="96" t="str">
        <x:f>IF(A103="","",IF('Risk Register'!Z103="","",'Risk Register'!Z103))</x:f>
      </x:c>
      <x:c r="M103" s="96" t="str">
        <x:f>IF(A103="","",IF('Risk Register'!AA103="","",'Risk Register'!AA103))</x:f>
      </x:c>
      <x:c r="N103" s="98" t="str">
        <x:f>IF(A103="","",IF('Risk Register'!AB103="","",'Risk Register'!AB103))</x:f>
      </x:c>
      <x:c r="O103" s="96" t="str">
        <x:f>IF(A103="","",IF('Risk Register'!AC103="","",'Risk Register'!AC103))</x:f>
      </x:c>
      <x:c r="P103" s="96" t="str">
        <x:f>IF(A103="","",'Risk Register'!AD103)</x:f>
      </x:c>
      <x:c r="Q103" s="96" t="str">
        <x:f>IF(A103="","",'Risk Register'!AE103)</x:f>
      </x:c>
    </x:row>
    <x:row r="104" ht="36" customHeight="1">
      <x:c r="A104" s="14" t="str">
        <x:f>IF('Risk Register'!A104="","",'Risk Register'!A104)</x:f>
      </x:c>
      <x:c r="B104" s="14" t="str">
        <x:f>IF(A104="","",'Risk Register'!D104)</x:f>
      </x:c>
      <x:c r="C104" s="14" t="str">
        <x:f>IF(A104="","",'Risk Register'!P104)</x:f>
      </x:c>
      <x:c r="D104" s="14" t="str">
        <x:f>IF(A104="","",'Risk Register'!Q104)</x:f>
      </x:c>
      <x:c r="E104" s="14" t="str">
        <x:f>IF(A104="","",'Risk Register'!S104)</x:f>
      </x:c>
      <x:c r="F104" s="14" t="str">
        <x:f>IF(A104="","",'Risk Register'!T104)</x:f>
      </x:c>
      <x:c r="G104" s="83" t="str">
        <x:f>IF(A104="","",IF(ISNUMBER('Risk Register'!U104),IF('Risk Register'!U104&gt;0,'Risk Register'!U104,""),""))</x:f>
      </x:c>
      <x:c r="H104" s="14" t="str">
        <x:f>IF(A104="","",IF(OR(F104="Closed",F104="Accepted"),"",IF(ISNUMBER('Risk Register'!U104),IF('Risk Register'!U104&gt;0,'Risk Register'!U104-TODAY(),""),"")))</x:f>
      </x:c>
      <x:c r="I104" s="14" t="str">
        <x:f>IF(A104="","",'Risk Register'!R104)</x:f>
      </x:c>
      <x:c r="J104" s="14" t="str">
        <x:f>IF(A104="","",'Risk Register'!X104)</x:f>
      </x:c>
      <x:c r="K104" s="96" t="str">
        <x:f>IF(A104="","",IF('Risk Register'!Y104="","",'Risk Register'!Y104))</x:f>
      </x:c>
      <x:c r="L104" s="96" t="str">
        <x:f>IF(A104="","",IF('Risk Register'!Z104="","",'Risk Register'!Z104))</x:f>
      </x:c>
      <x:c r="M104" s="96" t="str">
        <x:f>IF(A104="","",IF('Risk Register'!AA104="","",'Risk Register'!AA104))</x:f>
      </x:c>
      <x:c r="N104" s="98" t="str">
        <x:f>IF(A104="","",IF('Risk Register'!AB104="","",'Risk Register'!AB104))</x:f>
      </x:c>
      <x:c r="O104" s="96" t="str">
        <x:f>IF(A104="","",IF('Risk Register'!AC104="","",'Risk Register'!AC104))</x:f>
      </x:c>
      <x:c r="P104" s="96" t="str">
        <x:f>IF(A104="","",'Risk Register'!AD104)</x:f>
      </x:c>
      <x:c r="Q104" s="96" t="str">
        <x:f>IF(A104="","",'Risk Register'!AE104)</x:f>
      </x:c>
    </x:row>
  </x:sheetData>
  <x:mergeCells>
    <x:mergeCell ref="A1:J1"/>
    <x:mergeCell ref="A2:J2"/>
  </x:mergeCells>
  <x:conditionalFormatting sqref="H5:H104">
    <x:cfRule type="expression" dxfId="8" priority="1">
      <x:formula>AND($A5&lt;&gt;"",$H5&lt;0)</x:formula>
    </x:cfRule>
  </x:conditionalFormatting>
  <x:conditionalFormatting sqref="P5:P104">
    <x:cfRule type="expression" dxfId="11" priority="2">
      <x:formula>AND($A5&lt;&gt;"",P5&lt;&gt;"OK",P5&lt;&gt;"Notes present")</x:formula>
    </x:cfRule>
  </x:conditionalFormatting>
  <x:conditionalFormatting sqref="Q5:Q104">
    <x:cfRule type="expression" dxfId="12" priority="3">
      <x:formula>AND($A5&lt;&gt;"",Q5&lt;&gt;"OK",Q5&lt;&gt;"Notes present")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b0883326d546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0" hidden="0" customWidth="1"/>
    <x:col min="3" max="3" width="18" hidden="0" customWidth="1"/>
    <x:col min="4" max="4" width="18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7" t="str">
        <x:v>ApexCloud Solutions — Cyber Risk Assessment Methodology</x:v>
      </x:c>
    </x:row>
    <x:row r="3">
      <x:c r="A3" s="13" t="str">
        <x:v>Purpose</x:v>
      </x:c>
      <x:c r="B3" s="14" t="str">
        <x:v>Simulated portfolio project for a fictional SaaS company. It demonstrates how individual cybersecurity risks are documented, scored, treated, and tracked.</x:v>
      </x:c>
    </x:row>
    <x:row r="4">
      <x:c r="A4" s="13" t="str">
        <x:v>Inherent Risk</x:v>
      </x:c>
      <x:c r="B4" s="14" t="str">
        <x:v>Risk level before considering existing controls.</x:v>
      </x:c>
    </x:row>
    <x:row r="5">
      <x:c r="A5" s="13" t="str">
        <x:v>Residual Risk</x:v>
      </x:c>
      <x:c r="B5" s="14" t="str">
        <x:v>Risk level after considering existing controls. Residual likelihood/impact are assessor judgments; the Control Effectiveness dropdown does not mathematically change them.</x:v>
      </x:c>
    </x:row>
    <x:row r="6">
      <x:c r="A6" s="13" t="str">
        <x:v>Risk Formula</x:v>
      </x:c>
      <x:c r="B6" s="14" t="str">
        <x:v>Likelihood × Impact.</x:v>
      </x:c>
    </x:row>
    <x:row r="7">
      <x:c r="A7" s="13" t="str">
        <x:v>Treatment</x:v>
      </x:c>
      <x:c r="B7" s="14" t="str">
        <x:v>Mitigate, Accept, Transfer, or Avoid.</x:v>
      </x:c>
    </x:row>
    <x:row r="8">
      <x:c r="A8" s="13" t="str">
        <x:v>Expansion</x:v>
      </x:c>
      <x:c r="B8" s="14" t="str">
        <x:v>The Risk Register and Treatment Log are pre-wired for 100 risk rows. Add new risks in blank rows inside the existing table.</x:v>
      </x:c>
    </x:row>
    <x:row r="10">
      <x:c r="A10" s="3" t="str">
        <x:v>Likelihood</x:v>
      </x:c>
      <x:c r="B10" s="3" t="str">
        <x:v>Meaning</x:v>
      </x:c>
      <x:c r="C10" s="3" t="str">
        <x:v>Impact</x:v>
      </x:c>
      <x:c r="D10" s="3" t="str">
        <x:v>Meaning</x:v>
      </x:c>
      <x:c r="F10" s="3" t="str">
        <x:v>Score</x:v>
      </x:c>
      <x:c r="G10" s="3" t="str">
        <x:v>Rating</x:v>
      </x:c>
      <x:c r="H10" s="3" t="str">
        <x:v>General Response</x:v>
      </x:c>
    </x:row>
    <x:row r="11">
      <x:c r="A11" t="n">
        <x:v>1</x:v>
      </x:c>
      <x:c r="B11" t="str">
        <x:v>Rare</x:v>
      </x:c>
      <x:c r="C11" t="n">
        <x:v>1</x:v>
      </x:c>
      <x:c r="D11" t="str">
        <x:v>Minimal</x:v>
      </x:c>
      <x:c r="F11" t="str">
        <x:v>1–4</x:v>
      </x:c>
      <x:c r="G11" t="str">
        <x:v>Low</x:v>
      </x:c>
      <x:c r="H11" t="str">
        <x:v>Monitor or accept when justified</x:v>
      </x:c>
    </x:row>
    <x:row r="12">
      <x:c r="A12" t="n">
        <x:v>2</x:v>
      </x:c>
      <x:c r="B12" t="str">
        <x:v>Unlikely</x:v>
      </x:c>
      <x:c r="C12" t="n">
        <x:v>2</x:v>
      </x:c>
      <x:c r="D12" t="str">
        <x:v>Minor</x:v>
      </x:c>
      <x:c r="F12" t="str">
        <x:v>5–9</x:v>
      </x:c>
      <x:c r="G12" t="str">
        <x:v>Medium</x:v>
      </x:c>
      <x:c r="H12" t="str">
        <x:v>Plan treatment and assign ownership</x:v>
      </x:c>
    </x:row>
    <x:row r="13">
      <x:c r="A13" t="n">
        <x:v>3</x:v>
      </x:c>
      <x:c r="B13" t="str">
        <x:v>Possible</x:v>
      </x:c>
      <x:c r="C13" t="n">
        <x:v>3</x:v>
      </x:c>
      <x:c r="D13" t="str">
        <x:v>Moderate</x:v>
      </x:c>
      <x:c r="F13" t="str">
        <x:v>10–15</x:v>
      </x:c>
      <x:c r="G13" t="str">
        <x:v>High</x:v>
      </x:c>
      <x:c r="H13" t="str">
        <x:v>Prioritize remediation</x:v>
      </x:c>
    </x:row>
    <x:row r="14">
      <x:c r="A14" t="n">
        <x:v>4</x:v>
      </x:c>
      <x:c r="B14" t="str">
        <x:v>Likely</x:v>
      </x:c>
      <x:c r="C14" t="n">
        <x:v>4</x:v>
      </x:c>
      <x:c r="D14" t="str">
        <x:v>Major</x:v>
      </x:c>
      <x:c r="F14" t="str">
        <x:v>16–25</x:v>
      </x:c>
      <x:c r="G14" t="str">
        <x:v>Critical</x:v>
      </x:c>
      <x:c r="H14" t="str">
        <x:v>Prompt management attention</x:v>
      </x:c>
    </x:row>
    <x:row r="15">
      <x:c r="A15" t="n">
        <x:v>5</x:v>
      </x:c>
      <x:c r="B15" t="str">
        <x:v>Almost Certain</x:v>
      </x:c>
      <x:c r="C15" t="n">
        <x:v>5</x:v>
      </x:c>
      <x:c r="D15" t="str">
        <x:v>Severe</x:v>
      </x:c>
    </x:row>
    <x:row r="17">
      <x:c r="A17" s="3" t="str">
        <x:v>Framework reference</x:v>
      </x:c>
      <x:c r="B17" s="3" t="str">
        <x:v>URL</x:v>
      </x:c>
    </x:row>
    <x:row r="18">
      <x:c r="A18" t="str">
        <x:v>NIST Cybersecurity Framework 2.0</x:v>
      </x:c>
      <x:c r="B18" t="str">
        <x:v>https://www.nist.gov/cyberframework</x:v>
      </x:c>
    </x:row>
    <x:row r="19">
      <x:c r="A19" t="str">
        <x:v>CIS Critical Security Controls v8.1</x:v>
      </x:c>
      <x:c r="B19" t="str">
        <x:v>https://www.cisecurity.org/controls/v8-1</x:v>
      </x:c>
    </x:row>
    <x:row r="20">
      <x:c r="A20" t="str">
        <x:v>CIS Controls list</x:v>
      </x:c>
      <x:c r="B20" t="str">
        <x:v>https://www.cisecurity.org/controls/cis-controls-list</x:v>
      </x:c>
    </x:row>
    <x:row r="22">
      <x:c r="A22" s="18" t="str">
        <x:v>Framework mappings in this workbook are broad, practical references for a learning project. They are not presented as an official NIST-to-CIS crosswalk or as a compliance audit.</x:v>
      </x:c>
      <x:c r="B22" s="18"/>
      <x:c r="C22" s="18"/>
      <x:c r="D22" s="18"/>
      <x:c r="E22" s="18"/>
      <x:c r="F22" s="18"/>
    </x:row>
    <x:row r="23">
      <x:c r="A23" s="18"/>
      <x:c r="B23" s="18"/>
      <x:c r="C23" s="18"/>
      <x:c r="D23" s="18"/>
      <x:c r="E23" s="18"/>
      <x:c r="F23" s="18"/>
    </x:row>
    <x:row r="24">
      <x:c r="A24" s="18"/>
      <x:c r="B24" s="18"/>
      <x:c r="C24" s="18"/>
      <x:c r="D24" s="18"/>
      <x:c r="E24" s="18"/>
      <x:c r="F24" s="18"/>
    </x:row>
    <x:row r="25" ht="62" customHeight="1">
      <x:c r="A25" s="112" t="str">
        <x:v>Revision date</x:v>
      </x:c>
      <x:c r="B25" s="111" t="str">
        <x:v>September 16, 2026. Functional checks and documentation workflow added; all company records remain simulated.</x:v>
      </x:c>
    </x:row>
    <x:row r="26" ht="62" customHeight="1">
      <x:c r="A26" s="112" t="str">
        <x:v>Required numeric inputs</x:v>
      </x:c>
      <x:c r="B26" s="111" t="str">
        <x:v>Likelihood and impact must be integers from 1 to 5. Missing or invalid values leave scores blank and ratings Not assessed.</x:v>
      </x:c>
    </x:row>
    <x:row r="27" ht="62" customHeight="1">
      <x:c r="A27" s="112" t="str">
        <x:v>Input Check</x:v>
      </x:c>
      <x:c r="B27" s="111" t="str">
        <x:v>Shows the first missing or invalid requirement, including ID, duplicate ID, context, scores, owner/status or target date. Correct it and recheck. Duplicate records are not deduplicated automatically.</x:v>
      </x:c>
    </x:row>
    <x:row r="28" ht="62" customHeight="1">
      <x:c r="A28" s="112" t="str">
        <x:v>Follow-up Check</x:v>
      </x:c>
      <x:c r="B28" s="111" t="str">
        <x:v>Prompts for rationale, evidence basis, evidence reference/request and review date. Closed/Accepted records also require a decision or closure note and evidence marked reviewed. This checks field presence, not evidence quality or approval authority.</x:v>
      </x:c>
    </x:row>
    <x:row r="29" ht="62" customHeight="1">
      <x:c r="A29" s="112" t="str">
        <x:v>Evidence Basis</x:v>
      </x:c>
      <x:c r="B29" s="111" t="str">
        <x:v>Scenario only means fictional observations. Evidence requested means a request is recorded. Evidence reviewed means the named evidence was actually inspected; label synthetic evidence as synthetic. No real company evidence is supplied in this project.</x:v>
      </x:c>
    </x:row>
    <x:row r="30" ht="62" customHeight="1">
      <x:c r="A30" s="112" t="str">
        <x:v>Example rationale</x:v>
      </x:c>
      <x:c r="B30" s="111" t="str">
        <x:v>The first five records include scenario-based rationale and a list of evidence to collect. The review date refers to reviewing the fictional scenario. Other records are intentionally flagged for your own assessment support.</x:v>
      </x:c>
    </x:row>
    <x:row r="31" ht="62" customHeight="1">
      <x:c r="A31" s="112" t="str">
        <x:v>Closure and acceptance</x:v>
      </x:c>
      <x:c r="B31" s="111" t="str">
        <x:v>Record the decision, reviewer/approver, date, supporting evidence and any retest in the closure note. Acceptance requires an authorized decision; closure requires the relevant completion evidence. Text presence alone does not prove either.</x:v>
      </x:c>
    </x:row>
    <x:row r="32" ht="62" customHeight="1">
      <x:c r="A32" s="112" t="str">
        <x:v>Workflow limits</x:v>
      </x:c>
      <x:c r="B32" s="111" t="str">
        <x:v>Edit the main sheet. Linked logs mirror rows and require manual filtering/sorting. There are no reminders, external integrations, automatic evidence validation or automatic remediation.</x:v>
      </x:c>
    </x:row>
    <x:row r="33" ht="62" customHeight="1">
      <x:c r="A33" s="112" t="str">
        <x:v>Before using the resume</x:v>
      </x:c>
      <x:c r="B33" s="111" t="str">
        <x:v>Review the scenario rationale, reproduce the calculations, and explain the limits. The workbooks were developed with AI assistance and do not represent an independent real-company audit.</x:v>
      </x:c>
    </x:row>
  </x:sheetData>
  <x:mergeCells>
    <x:mergeCell ref="A1:F1"/>
    <x:mergeCell ref="A22:F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22" hidden="0" customWidth="1"/>
    <x:col min="5" max="5" width="16" hidden="0" customWidth="1"/>
    <x:col min="6" max="6" width="16" hidden="0" customWidth="1"/>
  </x:cols>
  <x:sheetData>
    <x:row r="1">
      <x:c r="A1" s="3" t="str">
        <x:v>Category</x:v>
      </x:c>
      <x:c r="B1" s="3" t="str">
        <x:v>Control Effectiveness</x:v>
      </x:c>
      <x:c r="C1" s="3" t="str">
        <x:v>Treatment</x:v>
      </x:c>
      <x:c r="D1" s="3" t="str">
        <x:v>Owner</x:v>
      </x:c>
      <x:c r="E1" s="3" t="str">
        <x:v>Status</x:v>
      </x:c>
      <x:c r="F1" s="3" t="str">
        <x:v>NIST Function</x:v>
      </x:c>
    </x:row>
    <x:row r="2">
      <x:c r="A2" s="6" t="str">
        <x:v>Identity &amp; Access</x:v>
      </x:c>
      <x:c r="B2" s="6" t="str">
        <x:v>Ineffective</x:v>
      </x:c>
      <x:c r="C2" s="6" t="str">
        <x:v>Mitigate</x:v>
      </x:c>
      <x:c r="D2" s="6" t="str">
        <x:v>CISO</x:v>
      </x:c>
      <x:c r="E2" s="6" t="str">
        <x:v>Open</x:v>
      </x:c>
      <x:c r="F2" s="6" t="str">
        <x:v>Govern</x:v>
      </x:c>
    </x:row>
    <x:row r="3">
      <x:c r="A3" s="6" t="str">
        <x:v>Cloud Security</x:v>
      </x:c>
      <x:c r="B3" s="6" t="str">
        <x:v>Partially Effective</x:v>
      </x:c>
      <x:c r="C3" s="6" t="str">
        <x:v>Accept</x:v>
      </x:c>
      <x:c r="D3" s="6" t="str">
        <x:v>IT Manager</x:v>
      </x:c>
      <x:c r="E3" s="6" t="str">
        <x:v>Planned</x:v>
      </x:c>
      <x:c r="F3" s="6" t="str">
        <x:v>Identify</x:v>
      </x:c>
    </x:row>
    <x:row r="4">
      <x:c r="A4" s="6" t="str">
        <x:v>Endpoint Security</x:v>
      </x:c>
      <x:c r="B4" s="6" t="str">
        <x:v>Effective</x:v>
      </x:c>
      <x:c r="C4" s="6" t="str">
        <x:v>Transfer</x:v>
      </x:c>
      <x:c r="D4" s="6" t="str">
        <x:v>Security Manager</x:v>
      </x:c>
      <x:c r="E4" s="6" t="str">
        <x:v>In Progress</x:v>
      </x:c>
      <x:c r="F4" s="6" t="str">
        <x:v>Protect</x:v>
      </x:c>
    </x:row>
    <x:row r="5">
      <x:c r="A5" s="6" t="str">
        <x:v>Vulnerability Management</x:v>
      </x:c>
      <x:c r="B5" s="6" t="str">
        <x:v>Highly Effective</x:v>
      </x:c>
      <x:c r="C5" s="6" t="str">
        <x:v>Avoid</x:v>
      </x:c>
      <x:c r="D5" s="6" t="str">
        <x:v>Application Owner</x:v>
      </x:c>
      <x:c r="E5" s="6" t="str">
        <x:v>Closed</x:v>
      </x:c>
      <x:c r="F5" s="6" t="str">
        <x:v>Detect</x:v>
      </x:c>
    </x:row>
    <x:row r="6">
      <x:c r="A6" s="6" t="str">
        <x:v>Data Protection</x:v>
      </x:c>
      <x:c r="B6" s="6" t="str"/>
      <x:c r="C6" s="6" t="str"/>
      <x:c r="D6" s="6" t="str">
        <x:v>Data Owner</x:v>
      </x:c>
      <x:c r="E6" s="6" t="str">
        <x:v>Accepted</x:v>
      </x:c>
      <x:c r="F6" s="6" t="str">
        <x:v>Respond</x:v>
      </x:c>
    </x:row>
    <x:row r="7">
      <x:c r="A7" s="6" t="str">
        <x:v>Third-Party Risk</x:v>
      </x:c>
      <x:c r="B7" s="6" t="str"/>
      <x:c r="C7" s="6" t="str"/>
      <x:c r="D7" s="6" t="str">
        <x:v>Operations Manager</x:v>
      </x:c>
      <x:c r="E7" s="6" t="str"/>
      <x:c r="F7" s="6" t="str">
        <x:v>Recover</x:v>
      </x:c>
    </x:row>
    <x:row r="8">
      <x:c r="A8" s="6" t="str">
        <x:v>Incident Response</x:v>
      </x:c>
      <x:c r="B8" s="6" t="str"/>
      <x:c r="C8" s="6" t="str"/>
      <x:c r="D8" s="6" t="str">
        <x:v>Vendor Manager</x:v>
      </x:c>
      <x:c r="E8" s="6" t="str"/>
      <x:c r="F8" s="6" t="str"/>
    </x:row>
    <x:row r="9">
      <x:c r="A9" s="6" t="str">
        <x:v>Business Continuity</x:v>
      </x:c>
      <x:c r="B9" s="6" t="str"/>
      <x:c r="C9" s="6" t="str"/>
      <x:c r="D9" s="6" t="str">
        <x:v>HR Manager</x:v>
      </x:c>
      <x:c r="E9" s="6" t="str"/>
      <x:c r="F9" s="6" t="str"/>
    </x:row>
    <x:row r="10">
      <x:c r="A10" s="6" t="str">
        <x:v>Security Awareness</x:v>
      </x:c>
      <x:c r="B10" s="6" t="str"/>
      <x:c r="C10" s="6" t="str"/>
      <x:c r="D10" s="6" t="str">
        <x:v>Compliance Manager</x:v>
      </x:c>
      <x:c r="E10" s="6" t="str"/>
      <x:c r="F10" s="6" t="str"/>
    </x:row>
    <x:row r="11">
      <x:c r="A11" s="6" t="str">
        <x:v>Network Security</x:v>
      </x:c>
      <x:c r="B11" s="6" t="str"/>
      <x:c r="C11" s="6" t="str"/>
      <x:c r="D11" s="6" t="str">
        <x:v>Cloud Owner</x:v>
      </x:c>
      <x:c r="E11" s="6" t="str"/>
      <x:c r="F11" s="6" t="str"/>
    </x:row>
    <x:row r="12">
      <x:c r="A12" s="6" t="str">
        <x:v>Governance &amp; Compliance</x:v>
      </x:c>
      <x:c r="B12" s="6" t="str"/>
      <x:c r="C12" s="6" t="str"/>
      <x:c r="D12" s="6" t="str"/>
      <x:c r="E12" s="6" t="str"/>
      <x:c r="F12" s="6" t="str"/>
    </x:row>
    <x:row r="13">
      <x:c r="A13" s="6" t="str">
        <x:v>Application Security</x:v>
      </x:c>
      <x:c r="B13" s="6" t="str"/>
      <x:c r="C13" s="6" t="str"/>
      <x:c r="D13" s="6" t="str"/>
      <x:c r="E13" s="6" t="str"/>
      <x:c r="F13" s="6" t="str"/>
    </x:row>
  </x:sheetData>
  <x:pageMargins left="0.7" right="0.7" top="0.75" bottom="0.75" header="0.3" footer="0.3"/>
</x:worksheet>
</file>