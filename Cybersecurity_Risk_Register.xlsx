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77319c06224ea9" /></Relationships>
</file>

<file path=xl/workbook.xml><?xml version="1.0" encoding="utf-8"?>
<x:workbook xmlns:x="http://schemas.openxmlformats.org/spreadsheetml/2006/main">
  <x:sheets>
    <x:sheet xmlns:r="http://schemas.openxmlformats.org/officeDocument/2006/relationships" name="Risk Register" sheetId="1" r:id="R0b5752db38c84e3b"/>
    <x:sheet xmlns:r="http://schemas.openxmlformats.org/officeDocument/2006/relationships" name="Risk Heatmap" sheetId="2" r:id="Ree30a0630b45484a"/>
    <x:sheet xmlns:r="http://schemas.openxmlformats.org/officeDocument/2006/relationships" name="Treatment Log" sheetId="3" r:id="Rdc10c0642d2d4ecf"/>
    <x:sheet xmlns:r="http://schemas.openxmlformats.org/officeDocument/2006/relationships" name="Methodology" sheetId="4" r:id="R37d2bd28026c4ad0"/>
    <x:sheet xmlns:r="http://schemas.openxmlformats.org/officeDocument/2006/relationships" name="Lists" sheetId="5" r:id="Ra4d269ad66b44d9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mmm d, yyyy"/>
    <x:numFmt numFmtId="202" formatCode="0"/>
  </x:numFmts>
  <x:fonts count="14">
    <x:font>
      <x:sz val="11"/>
      <x:name val="Carlito"/>
    </x:font>
    <x:font>
      <x:b/>
      <x:sz val="11"/>
      <x:name val="Carlito"/>
    </x:font>
    <x:font>
      <x:b/>
      <x:sz val="14"/>
      <x:name val="Carlito"/>
    </x:font>
    <x:font>
      <x:i/>
      <x:sz val="10"/>
      <x:name val="Carlito"/>
    </x:font>
    <x:font>
      <x:i/>
      <x:sz val="11"/>
      <x:name val="Carlito"/>
    </x:font>
    <x:font>
      <x:b/>
      <x:sz val="10"/>
      <x:color rgb="FF000000"/>
      <x:name val="Arial"/>
    </x:font>
    <x:font>
      <x:sz val="10"/>
      <x:color rgb="FF000000"/>
      <x:name val="Arial"/>
    </x:font>
    <x:font>
      <x:sz val="10"/>
      <x:name val="Arial"/>
    </x:font>
    <x:font>
      <x:b/>
      <x:sz val="10"/>
      <x:name val="Arial"/>
    </x:font>
    <x:font>
      <x:b/>
      <x:sz val="10"/>
      <x:color rgb="FF202B35"/>
      <x:name val="Arial"/>
    </x:font>
    <x:font>
      <x:sz val="10"/>
      <x:color rgb="FF202B35"/>
      <x:name val="Arial"/>
    </x:font>
    <x:font>
      <x:i/>
      <x:sz val="10"/>
      <x:color rgb="FF202B35"/>
      <x:name val="Arial"/>
    </x:font>
    <x:font>
      <x:b/>
      <x:sz val="15"/>
      <x:color rgb="FF23374D"/>
      <x:name val="Arial"/>
    </x:font>
    <x:font>
      <x:b/>
      <x:sz val="10"/>
      <x:color rgb="FFFFFFFF"/>
      <x:name val="Arial"/>
    </x:font>
  </x:fonts>
  <x:fills count="20">
    <x:fill>
      <x:patternFill patternType="none"/>
    </x:fill>
    <x:fill>
      <x:patternFill patternType="gray125"/>
    </x:fill>
    <x:fill>
      <x:patternFill patternType="solid">
        <x:fgColor rgb="FFD9E1F2"/>
      </x:patternFill>
    </x:fill>
    <x:fill>
      <x:patternFill patternType="solid">
        <x:fgColor rgb="FFF2F2F2"/>
      </x:patternFill>
    </x:fill>
    <x:fill>
      <x:patternFill patternType="solid">
        <x:fgColor rgb="FFF9F9F9"/>
      </x:patternFill>
    </x:fill>
    <x:fill>
      <x:patternFill patternType="solid">
        <x:fgColor rgb="FFF8F8F8"/>
      </x:patternFill>
    </x:fill>
    <x:fill>
      <x:patternFill patternType="solid">
        <x:fgColor rgb="FFE7E6E6"/>
      </x:patternFill>
    </x:fill>
    <x:fill>
      <x:patternFill patternType="solid">
        <x:fgColor rgb="FFFFFDF2"/>
      </x:patternFill>
    </x:fill>
    <x:fill>
      <x:patternFill patternType="solid">
        <x:fgColor rgb="FFF4CCCC"/>
      </x:patternFill>
    </x:fill>
    <x:fill>
      <x:patternFill patternType="solid">
        <x:fgColor rgb="FFFCE4D6"/>
      </x:patternFill>
    </x:fill>
    <x:fill>
      <x:patternFill patternType="solid">
        <x:fgColor rgb="FFFFF2CC"/>
      </x:patternFill>
    </x:fill>
    <x:fill>
      <x:patternFill patternType="solid">
        <x:fgColor rgb="FFE2F0D9"/>
      </x:patternFill>
    </x:fill>
    <x:fill>
      <x:patternFill patternType="solid">
        <x:fgColor rgb="FFFAFAFA"/>
      </x:patternFill>
    </x:fill>
    <x:fill>
      <x:patternFill patternType="solid">
        <x:fgColor rgb="FFD9E2F3"/>
      </x:patternFill>
    </x:fill>
    <x:fill>
      <x:patternFill patternType="solid">
        <x:fgColor rgb="FFFFF2CC"/>
      </x:patternFill>
    </x:fill>
    <x:fill>
      <x:patternFill patternType="solid">
        <x:fgColor rgb="FFF2F2F2"/>
      </x:patternFill>
    </x:fill>
    <x:fill>
      <x:patternFill patternType="solid">
        <x:fgColor rgb="FFFFF8DC"/>
      </x:patternFill>
    </x:fill>
    <x:fill>
      <x:patternFill patternType="solid">
        <x:fgColor rgb="FFFFFFFF"/>
      </x:patternFill>
    </x:fill>
    <x:fill>
      <x:patternFill patternType="solid">
        <x:fgColor rgb="FFEDF0F3"/>
      </x:patternFill>
    </x:fill>
    <x:fill>
      <x:patternFill patternType="solid">
        <x:fgColor rgb="FF23374D"/>
      </x:patternFill>
    </x:fill>
  </x:fills>
  <x:borders count="2">
    <x:border/>
    <x:border/>
  </x:borders>
  <x:cellStyleXfs count="1">
    <x:xf numFmtId="0" fontId="0" fillId="0" borderId="0"/>
  </x:cellStyleXfs>
  <x:cellXfs count="1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0"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0" fillId="3" borderId="1" xfId="0" applyNumberFormat="1" applyFont="1" applyFill="1" applyBorder="1"/>
    <x:xf numFmtId="0" fontId="1" fillId="3" borderId="1" xfId="0" applyNumberFormat="1" applyFont="1" applyFill="1" applyBorder="1"/>
    <x:xf numFmtId="0" fontId="1"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1"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0" fillId="4" borderId="0" xfId="0" applyNumberFormat="1" applyFont="1" applyFill="1" applyBorder="1" applyAlignment="1">
      <x:alignment wrapText="1"/>
    </x:xf>
    <x:xf numFmtId="0" fontId="0" fillId="4" borderId="1" xfId="0" applyNumberFormat="1" applyFont="1" applyFill="1" applyBorder="1"/>
    <x:xf numFmtId="0" fontId="0" fillId="4" borderId="1" xfId="0" applyNumberFormat="1" applyFont="1" applyFill="1" applyBorder="1" applyAlignment="1">
      <x:alignment wrapText="1"/>
    </x:xf>
    <x:xf numFmtId="0" fontId="0" fillId="5" borderId="0" xfId="0" applyNumberFormat="1" applyFont="1" applyFill="1" applyBorder="1"/>
    <x:xf numFmtId="0" fontId="3" fillId="5" borderId="0" xfId="0" applyNumberFormat="1" applyFont="1" applyFill="1" applyBorder="1"/>
    <x:xf numFmtId="0" fontId="0" fillId="5" borderId="1" xfId="0" applyNumberFormat="1" applyFont="1" applyFill="1" applyBorder="1"/>
    <x:xf numFmtId="0" fontId="3" fillId="5" borderId="1"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wrapText="1"/>
    </x:xf>
    <x:xf numFmtId="0" fontId="0" fillId="6" borderId="1" xfId="0" applyNumberFormat="1" applyFont="1" applyFill="1" applyBorder="1"/>
    <x:xf numFmtId="0" fontId="1" fillId="6" borderId="1" xfId="0" applyNumberFormat="1" applyFont="1" applyFill="1" applyBorder="1"/>
    <x:xf numFmtId="0" fontId="1" fillId="6" borderId="1" xfId="0" applyNumberFormat="1" applyFont="1" applyFill="1" applyBorder="1" applyAlignment="1">
      <x:alignment wrapText="1"/>
    </x:xf>
    <x:xf numFmtId="0" fontId="0" fillId="7" borderId="0" xfId="0" applyNumberFormat="1" applyFont="1" applyFill="1" applyBorder="1"/>
    <x:xf numFmtId="0" fontId="0" fillId="7" borderId="1" xfId="0" applyNumberFormat="1" applyFont="1" applyFill="1" applyBorder="1"/>
    <x:xf numFmtId="200" fontId="0" fillId="7" borderId="0" xfId="0" applyNumberFormat="1" applyFont="1" applyFill="1" applyBorder="1"/>
    <x:xf numFmtId="200" fontId="0" fillId="7" borderId="1" xfId="0" applyNumberFormat="1" applyFont="1" applyFill="1" applyBorder="1"/>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0" fillId="7" borderId="1" xfId="0" applyNumberFormat="1" applyFont="1" applyFill="1" applyBorder="1" applyAlignment="1">
      <x:alignment wrapText="1"/>
    </x:xf>
    <x:xf numFmtId="200" fontId="0" fillId="7" borderId="1" xfId="0" applyNumberFormat="1" applyFont="1" applyFill="1" applyBorder="1" applyAlignment="1">
      <x:alignment wrapText="1"/>
    </x:xf>
    <x:xf numFmtId="0" fontId="1" fillId="6"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1" fillId="6"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7" borderId="1" xfId="0" applyNumberFormat="1" applyFont="1" applyFill="1" applyBorder="1" applyAlignment="1">
      <x:alignment vertical="top" wrapText="1"/>
    </x:xf>
    <x:xf numFmtId="0" fontId="0" fillId="8" borderId="0" xfId="0" applyNumberFormat="1" applyFont="1" applyFill="1" applyBorder="1"/>
    <x:xf numFmtId="0" fontId="0" fillId="8" borderId="1" xfId="0" applyNumberFormat="1" applyFont="1" applyFill="1" applyBorder="1"/>
    <x:xf numFmtId="0" fontId="0" fillId="9" borderId="0" xfId="0" applyNumberFormat="1" applyFont="1" applyFill="1" applyBorder="1"/>
    <x:xf numFmtId="0" fontId="0" fillId="9" borderId="1" xfId="0" applyNumberFormat="1" applyFont="1" applyFill="1" applyBorder="1"/>
    <x:xf numFmtId="0" fontId="0" fillId="10" borderId="0" xfId="0" applyNumberFormat="1" applyFont="1" applyFill="1" applyBorder="1"/>
    <x:xf numFmtId="0" fontId="0" fillId="10" borderId="1" xfId="0" applyNumberFormat="1" applyFont="1" applyFill="1" applyBorder="1"/>
    <x:xf numFmtId="0" fontId="0" fillId="11" borderId="0" xfId="0" applyNumberFormat="1" applyFont="1" applyFill="1" applyBorder="1"/>
    <x:xf numFmtId="0" fontId="0" fillId="11" borderId="1"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1" xfId="0" applyNumberFormat="1" applyFont="1" applyFill="1" applyBorder="1"/>
    <x:xf numFmtId="0" fontId="1" fillId="10" borderId="1" xfId="0" applyNumberFormat="1" applyFont="1" applyFill="1" applyBorder="1" applyAlignment="1">
      <x:alignment horizontal="center"/>
    </x:xf>
    <x:xf numFmtId="0" fontId="1" fillId="9" borderId="0" xfId="0" applyNumberFormat="1" applyFont="1" applyFill="1" applyBorder="1"/>
    <x:xf numFmtId="0" fontId="1" fillId="9" borderId="0" xfId="0" applyNumberFormat="1" applyFont="1" applyFill="1" applyBorder="1" applyAlignment="1">
      <x:alignment horizontal="center"/>
    </x:xf>
    <x:xf numFmtId="0" fontId="1" fillId="9" borderId="1" xfId="0" applyNumberFormat="1" applyFont="1" applyFill="1" applyBorder="1"/>
    <x:xf numFmtId="0" fontId="1" fillId="9" borderId="1" xfId="0" applyNumberFormat="1" applyFont="1" applyFill="1" applyBorder="1" applyAlignment="1">
      <x:alignment horizontal="center"/>
    </x:xf>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1" xfId="0" applyNumberFormat="1" applyFont="1" applyFill="1" applyBorder="1"/>
    <x:xf numFmtId="0" fontId="1" fillId="8" borderId="1" xfId="0" applyNumberFormat="1" applyFont="1" applyFill="1" applyBorder="1" applyAlignment="1">
      <x:alignment horizontal="center"/>
    </x:xf>
    <x:xf numFmtId="0" fontId="1" fillId="3" borderId="0" xfId="0" applyNumberFormat="1" applyFont="1" applyFill="1" applyBorder="1" applyAlignment="1">
      <x:alignment horizontal="center"/>
    </x:xf>
    <x:xf numFmtId="0" fontId="1" fillId="3" borderId="1" xfId="0" applyNumberFormat="1" applyFont="1" applyFill="1" applyBorder="1" applyAlignment="1">
      <x:alignment horizontal="center"/>
    </x:xf>
    <x:xf numFmtId="0" fontId="1" fillId="11" borderId="0" xfId="0" applyNumberFormat="1" applyFont="1" applyFill="1" applyBorder="1"/>
    <x:xf numFmtId="0" fontId="1" fillId="11" borderId="0" xfId="0" applyNumberFormat="1" applyFont="1" applyFill="1" applyBorder="1" applyAlignment="1">
      <x:alignment horizontal="center"/>
    </x:xf>
    <x:xf numFmtId="0" fontId="1" fillId="11" borderId="1" xfId="0" applyNumberFormat="1" applyFont="1" applyFill="1" applyBorder="1"/>
    <x:xf numFmtId="0" fontId="1" fillId="11" borderId="1" xfId="0" applyNumberFormat="1" applyFont="1" applyFill="1" applyBorder="1" applyAlignment="1">
      <x:alignment horizontal="center"/>
    </x:xf>
    <x:xf numFmtId="0" fontId="0" fillId="12" borderId="0" xfId="0" applyNumberFormat="1" applyFont="1" applyFill="1" applyBorder="1"/>
    <x:xf numFmtId="0" fontId="1" fillId="12" borderId="0" xfId="0" applyNumberFormat="1" applyFont="1" applyFill="1" applyBorder="1"/>
    <x:xf numFmtId="0" fontId="0" fillId="12" borderId="1" xfId="0" applyNumberFormat="1" applyFont="1" applyFill="1" applyBorder="1"/>
    <x:xf numFmtId="0" fontId="1" fillId="12" borderId="1" xfId="0" applyNumberFormat="1" applyFont="1" applyFill="1" applyBorder="1"/>
    <x:xf numFmtId="0" fontId="1" fillId="12" borderId="0" xfId="0" applyNumberFormat="1" applyFont="1" applyFill="1" applyBorder="1" applyAlignment="1">
      <x:alignment wrapText="1"/>
    </x:xf>
    <x:xf numFmtId="0" fontId="1" fillId="12" borderId="1" xfId="0" applyNumberFormat="1" applyFont="1" applyFill="1" applyBorder="1" applyAlignment="1">
      <x:alignment wrapText="1"/>
    </x:xf>
    <x:xf numFmtId="0" fontId="4" fillId="5" borderId="0" xfId="0" applyNumberFormat="1" applyFont="1" applyFill="1" applyBorder="1"/>
    <x:xf numFmtId="0" fontId="4" fillId="5"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wrapText="1"/>
    </x:xf>
    <x:xf numFmtId="0" fontId="5" fillId="13" borderId="0" xfId="0" applyNumberFormat="1" applyFont="1" applyFill="1" applyBorder="1" applyAlignment="1">
      <x:alignment horizontal="center" wrapText="1"/>
    </x:xf>
    <x:xf numFmtId="0" fontId="5" fillId="13" borderId="0"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0" xfId="0" applyNumberFormat="1" applyFont="1" applyFill="1" applyBorder="1" applyAlignment="1">
      <x:alignment wrapText="1"/>
    </x:xf>
    <x:xf numFmtId="0" fontId="6" fillId="14" borderId="0"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0" xfId="0" applyNumberFormat="1" applyFont="1" applyFill="1" applyBorder="1" applyAlignment="1">
      <x:alignment wrapText="1"/>
    </x:xf>
    <x:xf numFmtId="0" fontId="6" fillId="15" borderId="0" xfId="0" applyNumberFormat="1" applyFont="1" applyFill="1" applyBorder="1" applyAlignment="1">
      <x:alignment vertical="center" wrapText="1"/>
    </x:xf>
    <x:xf numFmtId="201" fontId="6" fillId="14" borderId="0" xfId="0" applyNumberFormat="1" applyFont="1" applyFill="1" applyBorder="1" applyAlignment="1">
      <x:alignment vertical="center" wrapText="1"/>
    </x:xf>
    <x:xf numFmtId="201" fontId="6" fillId="15" borderId="0" xfId="0" applyNumberFormat="1" applyFont="1" applyFill="1" applyBorder="1" applyAlignment="1">
      <x:alignment vertical="center" wrapText="1"/>
    </x:xf>
    <x:xf numFmtId="0" fontId="1" fillId="13" borderId="0" xfId="0" applyNumberFormat="1" applyFont="1" applyFill="1" applyBorder="1" applyAlignment="1">
      <x:alignment vertical="top" wrapText="1"/>
    </x:xf>
    <x:xf numFmtId="0" fontId="5" fillId="13" borderId="0" xfId="0" applyNumberFormat="1" applyFont="1" applyFill="1" applyBorder="1" applyAlignment="1">
      <x:alignment vertical="top" wrapText="1"/>
    </x:xf>
    <x:xf numFmtId="0" fontId="5" fillId="13" borderId="0" xfId="0" applyNumberFormat="1" applyFont="1" applyFill="1" applyBorder="1" applyAlignment="1">
      <x:alignment horizontal="center" vertical="top" wrapText="1"/>
    </x:xf>
    <x:xf numFmtId="0" fontId="1" fillId="13" borderId="0" xfId="0" applyNumberFormat="1" applyFont="1" applyFill="1" applyBorder="1" applyAlignment="1">
      <x:alignment wrapText="1"/>
    </x:xf>
    <x:xf numFmtId="202" fontId="0" fillId="8" borderId="0" xfId="0" applyNumberFormat="1" applyFont="1" applyFill="1" applyBorder="1"/>
    <x:xf numFmtId="202" fontId="0" fillId="9" borderId="0" xfId="0" applyNumberFormat="1" applyFont="1" applyFill="1" applyBorder="1"/>
    <x:xf numFmtId="202" fontId="0" fillId="10" borderId="0" xfId="0" applyNumberFormat="1" applyFont="1" applyFill="1" applyBorder="1"/>
    <x:xf numFmtId="202" fontId="0" fillId="11" borderId="0" xfId="0" applyNumberFormat="1" applyFont="1" applyFill="1" applyBorder="1"/>
    <x:xf numFmtId="202" fontId="0" fillId="0" borderId="0" xfId="0" applyNumberFormat="1" applyFont="1" applyFill="1" applyBorder="1"/>
    <x:xf numFmtId="202" fontId="0" fillId="0" borderId="0" xfId="0" applyNumberFormat="1" applyFont="1" applyFill="1" applyBorder="1" applyAlignment="1">
      <x:alignment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9" fillId="2" borderId="0" xfId="0" applyNumberFormat="1" applyFont="1" applyFill="1" applyBorder="1"/>
    <x:xf numFmtId="0" fontId="10" fillId="0" borderId="0" xfId="0" applyNumberFormat="1" applyFont="1" applyFill="1" applyBorder="1"/>
    <x:xf numFmtId="0" fontId="11" fillId="5" borderId="0" xfId="0" applyNumberFormat="1" applyFont="1" applyFill="1" applyBorder="1"/>
    <x:xf numFmtId="0" fontId="9" fillId="13" borderId="0" xfId="0" applyNumberFormat="1" applyFont="1" applyFill="1" applyBorder="1" applyAlignment="1">
      <x:alignment horizontal="center" vertical="center" wrapText="1"/>
    </x:xf>
    <x:xf numFmtId="0" fontId="10" fillId="7"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200" fontId="10" fillId="7" borderId="0" xfId="0" applyNumberFormat="1" applyFont="1" applyFill="1" applyBorder="1" applyAlignment="1">
      <x:alignment vertical="top" wrapText="1"/>
    </x:xf>
    <x:xf numFmtId="0" fontId="10" fillId="10" borderId="0" xfId="0" applyNumberFormat="1" applyFont="1" applyFill="1" applyBorder="1" applyAlignment="1">
      <x:alignment vertical="center" wrapText="1"/>
    </x:xf>
    <x:xf numFmtId="201" fontId="10" fillId="10" borderId="0" xfId="0" applyNumberFormat="1" applyFont="1" applyFill="1" applyBorder="1" applyAlignment="1">
      <x:alignment vertical="center" wrapText="1"/>
    </x:xf>
    <x:xf numFmtId="0" fontId="10" fillId="3" borderId="0" xfId="0" applyNumberFormat="1" applyFont="1" applyFill="1" applyBorder="1" applyAlignment="1">
      <x:alignment vertical="center" wrapText="1"/>
    </x:xf>
    <x:xf numFmtId="0" fontId="10" fillId="0" borderId="0" xfId="0" applyNumberFormat="1" applyFont="1" applyFill="1" applyBorder="1" applyAlignment="1">
      <x:alignment wrapText="1"/>
    </x:xf>
    <x:xf numFmtId="0" fontId="9" fillId="13" borderId="0" xfId="0" applyNumberFormat="1" applyFont="1" applyFill="1" applyBorder="1" applyAlignment="1">
      <x:alignment horizontal="center" vertical="top" wrapText="1"/>
    </x:xf>
    <x:xf numFmtId="0" fontId="10" fillId="10" borderId="0" xfId="0" applyNumberFormat="1" applyFont="1" applyFill="1" applyBorder="1" applyAlignment="1">
      <x:alignment vertical="top" wrapText="1"/>
    </x:xf>
    <x:xf numFmtId="201" fontId="10" fillId="10"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0" fillId="16" borderId="0" xfId="0" applyNumberFormat="1" applyFont="1" applyFill="1" applyBorder="1" applyAlignment="1">
      <x:alignment vertical="top" wrapText="1"/>
    </x:xf>
    <x:xf numFmtId="200" fontId="10" fillId="16" borderId="0" xfId="0" applyNumberFormat="1" applyFont="1" applyFill="1" applyBorder="1" applyAlignment="1">
      <x:alignment vertical="top" wrapText="1"/>
    </x:xf>
    <x:xf numFmtId="201" fontId="10" fillId="16" borderId="0" xfId="0" applyNumberFormat="1" applyFont="1" applyFill="1" applyBorder="1" applyAlignment="1">
      <x:alignment vertical="top" wrapText="1"/>
    </x:xf>
    <x:xf numFmtId="0" fontId="12" fillId="2" borderId="0" xfId="0" applyNumberFormat="1" applyFont="1" applyFill="1" applyBorder="1"/>
    <x:xf numFmtId="0" fontId="12" fillId="0" borderId="0" xfId="0" applyNumberFormat="1" applyFont="1" applyFill="1" applyBorder="1"/>
    <x:xf numFmtId="0" fontId="12" fillId="17" borderId="0" xfId="0" applyNumberFormat="1" applyFont="1" applyFill="1" applyBorder="1"/>
    <x:xf numFmtId="0" fontId="11" fillId="17" borderId="0" xfId="0" applyNumberFormat="1" applyFont="1" applyFill="1" applyBorder="1"/>
    <x:xf numFmtId="0" fontId="10" fillId="17" borderId="0" xfId="0" applyNumberFormat="1" applyFont="1" applyFill="1" applyBorder="1"/>
    <x:xf numFmtId="0" fontId="11" fillId="17" borderId="0" xfId="0" applyNumberFormat="1" applyFont="1" applyFill="1" applyBorder="1" applyAlignment="1">
      <x:alignment wrapText="1"/>
    </x:xf>
    <x:xf numFmtId="0" fontId="10" fillId="17" borderId="0" xfId="0" applyNumberFormat="1" applyFont="1" applyFill="1" applyBorder="1" applyAlignment="1">
      <x:alignment wrapText="1"/>
    </x:xf>
    <x:xf numFmtId="0" fontId="10" fillId="18" borderId="0" xfId="0" applyNumberFormat="1" applyFont="1" applyFill="1" applyBorder="1" applyAlignment="1">
      <x:alignment vertical="top" wrapText="1"/>
    </x:xf>
    <x:xf numFmtId="0" fontId="9" fillId="19" borderId="0" xfId="0" applyNumberFormat="1" applyFont="1" applyFill="1" applyBorder="1" applyAlignment="1">
      <x:alignment horizontal="center" vertical="top" wrapText="1"/>
    </x:xf>
    <x:xf numFmtId="0" fontId="10" fillId="19" borderId="0" xfId="0" applyNumberFormat="1" applyFont="1" applyFill="1" applyBorder="1" applyAlignment="1">
      <x:alignment vertical="top" wrapText="1"/>
    </x:xf>
    <x:xf numFmtId="0" fontId="13" fillId="19" borderId="0" xfId="0" applyNumberFormat="1" applyFont="1" applyFill="1" applyBorder="1" applyAlignment="1">
      <x:alignment horizontal="center" vertical="top" wrapText="1"/>
    </x:xf>
    <x:xf numFmtId="0" fontId="13" fillId="19" borderId="0" xfId="0" applyNumberFormat="1" applyFont="1" applyFill="1" applyBorder="1" applyAlignment="1">
      <x:alignment vertical="top" wrapText="1"/>
    </x:xf>
    <x:xf numFmtId="0" fontId="13" fillId="19" borderId="0" xfId="0" applyNumberFormat="1" applyFont="1" applyFill="1" applyBorder="1" applyAlignment="1">
      <x:alignment horizontal="center" vertical="center" wrapText="1"/>
    </x:xf>
    <x:xf numFmtId="201" fontId="7" fillId="0" borderId="0" xfId="0" applyNumberFormat="1" applyFont="1" applyFill="1" applyBorder="1" applyAlignment="1">
      <x:alignment vertical="center" wrapText="1"/>
    </x:xf>
    <x:xf numFmtId="201" fontId="7" fillId="16" borderId="0" xfId="0" applyNumberFormat="1" applyFont="1" applyFill="1" applyBorder="1" applyAlignment="1">
      <x:alignment vertical="center" wrapText="1"/>
    </x:xf>
    <x:xf numFmtId="0" fontId="0" fillId="19" borderId="0" xfId="0" applyNumberFormat="1" applyFont="1" applyFill="1" applyBorder="1"/>
    <x:xf numFmtId="0" fontId="13" fillId="19" borderId="0" xfId="0" applyNumberFormat="1" applyFont="1" applyFill="1" applyBorder="1"/>
    <x:xf numFmtId="0" fontId="13" fillId="19" borderId="0" xfId="0" applyNumberFormat="1" applyFont="1" applyFill="1" applyBorder="1" applyAlignment="1">
      <x:alignment wrapText="1"/>
    </x:xf>
    <x:xf numFmtId="0" fontId="13" fillId="19" borderId="0" xfId="0" applyNumberFormat="1" applyFont="1" applyFill="1" applyBorder="1" applyAlignment="1">
      <x:alignment horizontal="center" wrapText="1"/>
    </x:xf>
    <x:xf numFmtId="0" fontId="9" fillId="3" borderId="0" xfId="0" applyNumberFormat="1" applyFont="1" applyFill="1" applyBorder="1" applyAlignment="1">
      <x:alignment wrapText="1"/>
    </x:xf>
    <x:xf numFmtId="0" fontId="10" fillId="4" borderId="0" xfId="0" applyNumberFormat="1" applyFont="1" applyFill="1" applyBorder="1" applyAlignment="1">
      <x:alignment wrapText="1"/>
    </x:xf>
    <x:xf numFmtId="0" fontId="9" fillId="0" borderId="0" xfId="0" applyNumberFormat="1" applyFont="1" applyFill="1" applyBorder="1" applyAlignment="1">
      <x:alignment vertical="center" wrapText="1"/>
    </x:xf>
    <x:xf numFmtId="201" fontId="10" fillId="16" borderId="0" xfId="0" applyNumberFormat="1" applyFont="1" applyFill="1" applyBorder="1" applyAlignment="1">
      <x:alignment vertical="center" wrapText="1"/>
    </x:xf>
    <x:xf numFmtId="0" fontId="10" fillId="0" borderId="0" xfId="0" applyNumberFormat="1" applyFont="1" applyFill="1" applyBorder="1" applyAlignment="1">
      <x:alignment vertical="center" wrapText="1"/>
    </x:xf>
    <x:xf numFmtId="0" fontId="9" fillId="19" borderId="0" xfId="0" applyNumberFormat="1" applyFont="1" applyFill="1" applyBorder="1" applyAlignment="1">
      <x:alignment horizontal="center" vertical="center" wrapText="1"/>
    </x:xf>
    <x:xf numFmtId="0" fontId="9" fillId="0" borderId="0" xfId="0" applyNumberFormat="1" applyFont="1" applyFill="1" applyBorder="1" applyAlignment="1">
      <x:alignment vertical="top" wrapText="1"/>
    </x:xf>
    <x:xf numFmtId="200" fontId="10" fillId="0" borderId="0" xfId="0" applyNumberFormat="1" applyFont="1" applyFill="1" applyBorder="1" applyAlignment="1">
      <x:alignment wrapText="1"/>
    </x:xf>
    <x:xf numFmtId="201" fontId="10" fillId="3" borderId="0" xfId="0" applyNumberFormat="1" applyFont="1" applyFill="1" applyBorder="1" applyAlignment="1">
      <x:alignment vertical="center" wrapText="1"/>
    </x:xf>
    <x:xf numFmtId="0" fontId="10" fillId="18" borderId="0" xfId="0" applyNumberFormat="1" applyFont="1" applyFill="1" applyBorder="1" applyAlignment="1">
      <x:alignment wrapText="1"/>
    </x:xf>
    <x:xf numFmtId="200" fontId="10" fillId="18" borderId="0" xfId="0" applyNumberFormat="1" applyFont="1" applyFill="1" applyBorder="1" applyAlignment="1">
      <x:alignment wrapText="1"/>
    </x:xf>
    <x:xf numFmtId="0" fontId="10" fillId="18" borderId="0" xfId="0" applyNumberFormat="1" applyFont="1" applyFill="1" applyBorder="1" applyAlignment="1">
      <x:alignment vertical="center" wrapText="1"/>
    </x:xf>
    <x:xf numFmtId="201" fontId="10" fillId="18" borderId="0" xfId="0" applyNumberFormat="1" applyFont="1" applyFill="1" applyBorder="1" applyAlignment="1">
      <x:alignment vertical="center" wrapText="1"/>
    </x:xf>
    <x:xf numFmtId="0" fontId="10" fillId="19" borderId="0" xfId="0" applyNumberFormat="1" applyFont="1" applyFill="1" applyBorder="1" applyAlignment="1">
      <x:alignment wrapText="1"/>
    </x:xf>
    <x:xf numFmtId="201" fontId="0" fillId="0" borderId="0" xfId="0" applyNumberFormat="1" applyFont="1" applyFill="1" applyBorder="1"/>
    <x:xf numFmtId="0" fontId="1" fillId="19" borderId="0" xfId="0" applyNumberFormat="1" applyFont="1" applyFill="1" applyBorder="1"/>
    <x:xf numFmtId="0" fontId="5" fillId="19" borderId="0" xfId="0" applyNumberFormat="1" applyFont="1" applyFill="1" applyBorder="1" applyAlignment="1">
      <x:alignment horizontal="center" vertical="center" wrapText="1"/>
    </x:xf>
    <x:xf numFmtId="201" fontId="10" fillId="0" borderId="0" xfId="0" applyNumberFormat="1" applyFont="1" applyFill="1" applyBorder="1"/>
    <x:xf numFmtId="0" fontId="9" fillId="6" borderId="0" xfId="0" applyNumberFormat="1" applyFont="1" applyFill="1" applyBorder="1" applyAlignment="1">
      <x:alignment wrapText="1"/>
    </x:xf>
    <x:xf numFmtId="0" fontId="10" fillId="8" borderId="0" xfId="0" applyNumberFormat="1" applyFont="1" applyFill="1" applyBorder="1"/>
    <x:xf numFmtId="202" fontId="10" fillId="8" borderId="0" xfId="0" applyNumberFormat="1" applyFont="1" applyFill="1" applyBorder="1"/>
    <x:xf numFmtId="0" fontId="9" fillId="3" borderId="0" xfId="0" applyNumberFormat="1" applyFont="1" applyFill="1" applyBorder="1"/>
    <x:xf numFmtId="0" fontId="10" fillId="9" borderId="0" xfId="0" applyNumberFormat="1" applyFont="1" applyFill="1" applyBorder="1"/>
    <x:xf numFmtId="202" fontId="10" fillId="9" borderId="0" xfId="0" applyNumberFormat="1" applyFont="1" applyFill="1" applyBorder="1"/>
    <x:xf numFmtId="0" fontId="9" fillId="3" borderId="0" xfId="0" applyNumberFormat="1" applyFont="1" applyFill="1" applyBorder="1" applyAlignment="1">
      <x:alignment horizontal="center"/>
    </x:xf>
    <x:xf numFmtId="0" fontId="9" fillId="10" borderId="0" xfId="0" applyNumberFormat="1" applyFont="1" applyFill="1" applyBorder="1" applyAlignment="1">
      <x:alignment horizontal="center"/>
    </x:xf>
    <x:xf numFmtId="0" fontId="9" fillId="9" borderId="0" xfId="0" applyNumberFormat="1" applyFont="1" applyFill="1" applyBorder="1" applyAlignment="1">
      <x:alignment horizontal="center"/>
    </x:xf>
    <x:xf numFmtId="0" fontId="9" fillId="8" borderId="0" xfId="0" applyNumberFormat="1" applyFont="1" applyFill="1" applyBorder="1" applyAlignment="1">
      <x:alignment horizontal="center"/>
    </x:xf>
    <x:xf numFmtId="0" fontId="10" fillId="10" borderId="0" xfId="0" applyNumberFormat="1" applyFont="1" applyFill="1" applyBorder="1"/>
    <x:xf numFmtId="202" fontId="10" fillId="10" borderId="0" xfId="0" applyNumberFormat="1" applyFont="1" applyFill="1" applyBorder="1"/>
    <x:xf numFmtId="0" fontId="9" fillId="11" borderId="0" xfId="0" applyNumberFormat="1" applyFont="1" applyFill="1" applyBorder="1" applyAlignment="1">
      <x:alignment horizontal="center"/>
    </x:xf>
    <x:xf numFmtId="0" fontId="10" fillId="11" borderId="0" xfId="0" applyNumberFormat="1" applyFont="1" applyFill="1" applyBorder="1"/>
    <x:xf numFmtId="202" fontId="10" fillId="11" borderId="0" xfId="0" applyNumberFormat="1" applyFont="1" applyFill="1" applyBorder="1"/>
    <x:xf numFmtId="202" fontId="10" fillId="0" borderId="0" xfId="0" applyNumberFormat="1" applyFont="1" applyFill="1" applyBorder="1"/>
    <x:xf numFmtId="0" fontId="9" fillId="12" borderId="0" xfId="0" applyNumberFormat="1" applyFont="1" applyFill="1" applyBorder="1" applyAlignment="1">
      <x:alignment wrapText="1"/>
    </x:xf>
    <x:xf numFmtId="202" fontId="10" fillId="0" borderId="0" xfId="0" applyNumberFormat="1" applyFont="1" applyFill="1" applyBorder="1" applyAlignment="1">
      <x:alignment wrapText="1"/>
    </x:xf>
    <x:xf numFmtId="0" fontId="10" fillId="19" borderId="0" xfId="0" applyNumberFormat="1" applyFont="1" applyFill="1" applyBorder="1"/>
    <x:xf numFmtId="200" fontId="10" fillId="18" borderId="0" xfId="0" applyNumberFormat="1" applyFont="1" applyFill="1" applyBorder="1" applyAlignment="1">
      <x:alignment vertical="top" wrapText="1"/>
    </x:xf>
    <x:xf numFmtId="201" fontId="10" fillId="18" borderId="0" xfId="0" applyNumberFormat="1" applyFont="1" applyFill="1" applyBorder="1" applyAlignment="1">
      <x:alignment vertical="top" wrapText="1"/>
    </x:xf>
  </x:cellXfs>
  <x:cellStyles count="1">
    <x:cellStyle name="Normal" xfId="0"/>
  </x:cellStyles>
  <x:dxfs count="16">
    <x:dxf>
      <x:font>
        <x:b/>
      </x:font>
      <x:fill>
        <x:patternFill>
          <x:bgColor rgb="FFF4CCCC"/>
        </x:patternFill>
      </x:fill>
    </x:dxf>
    <x:dxf>
      <x:font>
        <x:b/>
      </x:font>
      <x:fill>
        <x:patternFill>
          <x:bgColor rgb="FFFCE4D6"/>
        </x:patternFill>
      </x:fill>
    </x:dxf>
    <x:dxf>
      <x:fill>
        <x:patternFill>
          <x:bgColor rgb="FFFFF2CC"/>
        </x:patternFill>
      </x:fill>
    </x:dxf>
    <x:dxf>
      <x:fill>
        <x:patternFill>
          <x:bgColor rgb="FFE2F0D9"/>
        </x:patternFill>
      </x:fill>
    </x:dxf>
    <x:dxf>
      <x:font>
        <x:b/>
      </x:font>
      <x:fill>
        <x:patternFill>
          <x:bgColor rgb="FFF4CCCC"/>
        </x:patternFill>
      </x:fill>
    </x:dxf>
    <x:dxf>
      <x:font>
        <x:b/>
      </x:font>
      <x:fill>
        <x:patternFill>
          <x:bgColor rgb="FFFCE4D6"/>
        </x:patternFill>
      </x:fill>
    </x:dxf>
    <x:dxf>
      <x:fill>
        <x:patternFill>
          <x:bgColor rgb="FFFFF2CC"/>
        </x:patternFill>
      </x:fill>
    </x:dxf>
    <x:dxf>
      <x:fill>
        <x:patternFill>
          <x:bgColor rgb="FFE2F0D9"/>
        </x:patternFill>
      </x:fill>
    </x:dxf>
    <x:dxf>
      <x:font>
        <x:b/>
      </x:font>
      <x:fill>
        <x:patternFill>
          <x:bgColor rgb="FFF4CCCC"/>
        </x:patternFill>
      </x:fill>
    </x:dxf>
    <x:dxf>
      <x:font>
        <x:color rgb="FF9C0006"/>
      </x:font>
      <x:fill>
        <x:patternFill>
          <x:bgColor rgb="FFFCE4D6"/>
        </x:patternFill>
      </x:fill>
    </x:dxf>
    <x:dxf>
      <x:font>
        <x:color rgb="FF9C0006"/>
      </x:font>
      <x:fill>
        <x:patternFill>
          <x:bgColor rgb="FFFCE4D6"/>
        </x:patternFill>
      </x:fill>
    </x:dxf>
    <x:dxf>
      <x:font>
        <x:color rgb="FF9C0006"/>
      </x:font>
      <x:fill>
        <x:patternFill>
          <x:bgColor rgb="FFFCE4D6"/>
        </x:patternFill>
      </x:fill>
    </x:dxf>
    <x:dxf>
      <x:font>
        <x:color rgb="FF9C0006"/>
      </x:font>
      <x:fill>
        <x:patternFill>
          <x:bgColor rgb="FFFCE4D6"/>
        </x:patternFill>
      </x:fill>
    </x:dxf>
    <x:dxf>
      <x:font>
        <x:color rgb="FF9C2020"/>
      </x:font>
      <x:fill>
        <x:patternFill>
          <x:bgColor rgb="FFFCE5E5"/>
        </x:patternFill>
      </x:fill>
    </x:dxf>
    <x:dxf>
      <x:font>
        <x:color rgb="FF9C2020"/>
      </x:font>
      <x:fill>
        <x:patternFill>
          <x:bgColor rgb="FFFCE5E5"/>
        </x:patternFill>
      </x:fill>
    </x:dxf>
    <x:dxf>
      <x:font>
        <x:color rgb="FF9C2020"/>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b3e6ef8cb34c07" /><Relationship Type="http://schemas.openxmlformats.org/officeDocument/2006/relationships/theme" Target="/xl/theme/theme1.xml" Id="R5201b6db1e9b4583" /><Relationship Type="http://schemas.openxmlformats.org/officeDocument/2006/relationships/sharedStrings" Target="/xl/sharedStrings.xml" Id="R88cc341fba0a42a2" /><Relationship Type="http://schemas.openxmlformats.org/officeDocument/2006/relationships/worksheet" Target="/xl/worksheets/sheet1.xml" Id="R0b5752db38c84e3b" /><Relationship Type="http://schemas.openxmlformats.org/officeDocument/2006/relationships/worksheet" Target="/xl/worksheets/sheet2.xml" Id="Ree30a0630b45484a" /><Relationship Type="http://schemas.openxmlformats.org/officeDocument/2006/relationships/worksheet" Target="/xl/worksheets/sheet3.xml" Id="Rdc10c0642d2d4ecf" /><Relationship Type="http://schemas.openxmlformats.org/officeDocument/2006/relationships/worksheet" Target="/xl/worksheets/sheet4.xml" Id="R37d2bd28026c4ad0" /><Relationship Type="http://schemas.openxmlformats.org/officeDocument/2006/relationships/worksheet" Target="/xl/worksheets/sheet5.xml" Id="Ra4d269ad66b44d9f" /></Relationships>
</file>

<file path=xl/tables/table1.xml><?xml version="1.0" encoding="utf-8"?>
<x:table xmlns:x="http://schemas.openxmlformats.org/spreadsheetml/2006/main" id="5" name="RiskRegister" displayName="RiskRegister" ref="A4:AG104" headerRowCount="1" totalsRowCount="0" totalsRowShown="0">
  <x:autoFilter ref="A4:AG104"/>
  <x:tableColumns count="33">
    <x:tableColumn id="1" name="Risk ID"/>
    <x:tableColumn id="2" name="Category"/>
    <x:tableColumn id="3" name="Asset / Process"/>
    <x:tableColumn id="4" name="Risk Statement"/>
    <x:tableColumn id="5" name="Threat / Event"/>
    <x:tableColumn id="6" name="Vulnerability / Condition"/>
    <x:tableColumn id="7" name="Likelihood"/>
    <x:tableColumn id="8" name="Impact"/>
    <x:tableColumn id="9" name="Inherent Score"/>
    <x:tableColumn id="10" name="Inherent Rating"/>
    <x:tableColumn id="11" name="Existing Controls"/>
    <x:tableColumn id="12" name="Control Effectiveness"/>
    <x:tableColumn id="13" name="Residual Likelihood"/>
    <x:tableColumn id="14" name="Residual Impact"/>
    <x:tableColumn id="15" name="Residual Score"/>
    <x:tableColumn id="16" name="Residual Rating"/>
    <x:tableColumn id="17" name="Treatment"/>
    <x:tableColumn id="18" name="Recommended Action"/>
    <x:tableColumn id="19" name="Owner"/>
    <x:tableColumn id="20" name="Status"/>
    <x:tableColumn id="21" name="Target Date"/>
    <x:tableColumn id="22" name="NIST CSF Function"/>
    <x:tableColumn id="23" name="CIS Control Reference"/>
    <x:tableColumn id="24" name="Evidence / Notes"/>
    <x:tableColumn id="25" name="Assessment Rationale"/>
    <x:tableColumn id="26" name="Evidence Basis"/>
    <x:tableColumn id="27" name="Evidence Reference or Request"/>
    <x:tableColumn id="28" name="Assessment Review Date"/>
    <x:tableColumn id="29" name="Closure or Acceptance Note"/>
    <x:tableColumn id="30" name="Input Check"/>
    <x:tableColumn id="31" name="Follow-up Check"/>
    <x:tableColumn id="32" name="Related Gap IDs"/>
    <x:tableColumn id="33" name="Completion / Acceptance Test"/>
  </x:tableColumns>
  <x:tableStyleInfo name="TableStyleMedium2" showFirstColumn="0" showLastColumn="0" showRowStripes="1" showColumnStripes="0"/>
</x:table>
</file>

<file path=xl/tables/table2.xml><?xml version="1.0" encoding="utf-8"?>
<x:table xmlns:x="http://schemas.openxmlformats.org/spreadsheetml/2006/main" id="6" name="RiskTreatment" displayName="RiskTreatment" ref="A4:T104" headerRowCount="1" totalsRowCount="0" totalsRowShown="0">
  <x:autoFilter ref="A4:T104"/>
  <x:tableColumns count="20">
    <x:tableColumn id="1" name="Risk ID"/>
    <x:tableColumn id="2" name="Risk Statement"/>
    <x:tableColumn id="3" name="Residual Rating"/>
    <x:tableColumn id="4" name="Treatment"/>
    <x:tableColumn id="5" name="Owner"/>
    <x:tableColumn id="6" name="Status"/>
    <x:tableColumn id="7" name="Target Date"/>
    <x:tableColumn id="8" name="Days to Target"/>
    <x:tableColumn id="9" name="Recommended Action"/>
    <x:tableColumn id="10" name="Evidence / Notes"/>
    <x:tableColumn id="11" name="Assessment Rationale"/>
    <x:tableColumn id="12" name="Evidence Basis"/>
    <x:tableColumn id="13" name="Evidence Reference or Request"/>
    <x:tableColumn id="14" name="Assessment Review Date"/>
    <x:tableColumn id="15" name="Closure or Acceptance Note"/>
    <x:tableColumn id="16" name="Input Check"/>
    <x:tableColumn id="17" name="Follow-up Check"/>
    <x:tableColumn id="18" name="Related Gap IDs"/>
    <x:tableColumn id="19" name="Completion / Acceptance Test"/>
    <x:tableColumn id="20" name="Schedule"/>
  </x:tableColumns>
  <x:tableStyleInfo name="TableStyleMedium2" showFirstColumn="0" showLastColumn="0" showRowStripes="1" showColumnStripes="0"/>
</x:table>
</file>

<file path=xl/theme/theme1.xml><?xml version="1.0" encoding="utf-8"?>
<a:theme xmlns:a="http://schemas.openxmlformats.org/drawingml/2006/main" name="ApexCloud">
  <a:themeElements>
    <a:clrScheme name="ApexCloud">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pexCloud">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b30dbe2ee7c4645" /></Relationships>
</file>

<file path=xl/worksheets/_rels/sheet3.xml.rels>&#65279;<?xml version="1.0" encoding="utf-8"?><Relationships xmlns="http://schemas.openxmlformats.org/package/2006/relationships"><Relationship Type="http://schemas.openxmlformats.org/officeDocument/2006/relationships/table" Target="/xl/tables/table2.xml" Id="Rf6987b1cb3a34588" /></Relationships>
</file>

<file path=xl/worksheets/sheet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12" hidden="0" customWidth="1"/>
    <x:col min="2" max="2" width="23" hidden="0" customWidth="1"/>
    <x:col min="3" max="3" width="27" hidden="0" customWidth="1"/>
    <x:col min="4" max="4" width="60" hidden="0" customWidth="1"/>
    <x:col min="5" max="5" width="28" hidden="0" customWidth="1"/>
    <x:col min="6" max="6" width="40" hidden="0" customWidth="1"/>
    <x:col min="7" max="7" width="12" hidden="0" customWidth="1"/>
    <x:col min="8" max="8" width="12" hidden="0" customWidth="1"/>
    <x:col min="9" max="9" width="13" hidden="0" customWidth="1"/>
    <x:col min="10" max="10" width="14" hidden="0" customWidth="1"/>
    <x:col min="11" max="11" width="43" hidden="0" customWidth="1"/>
    <x:col min="12" max="12" width="22" hidden="0" customWidth="1"/>
    <x:col min="13" max="13" width="13" hidden="0" customWidth="1"/>
    <x:col min="14" max="14" width="13" hidden="0" customWidth="1"/>
    <x:col min="15" max="15" width="13" hidden="0" customWidth="1"/>
    <x:col min="16" max="16" width="14" hidden="0" customWidth="1"/>
    <x:col min="17" max="17" width="14" hidden="0" customWidth="1"/>
    <x:col min="18" max="18" width="57" hidden="0" customWidth="1"/>
    <x:col min="19" max="19" width="23" hidden="0" customWidth="1"/>
    <x:col min="20" max="20" width="16" hidden="0" customWidth="1"/>
    <x:col min="21" max="21" width="15" hidden="0" customWidth="1"/>
    <x:col min="22" max="22" width="22" hidden="0" customWidth="1"/>
    <x:col min="23" max="23" width="24" hidden="0" customWidth="1"/>
    <x:col min="24" max="24" width="38" hidden="0" customWidth="1"/>
    <x:col min="25" max="25" width="67" hidden="0" customWidth="1"/>
    <x:col min="26" max="26" width="21" hidden="0" customWidth="1"/>
    <x:col min="27" max="27" width="65" hidden="0" customWidth="1"/>
    <x:col min="28" max="28" width="15" hidden="0" customWidth="1"/>
    <x:col min="29" max="29" width="48" hidden="0" customWidth="1"/>
    <x:col min="30" max="30" width="29" hidden="0" customWidth="1"/>
    <x:col min="31" max="31" width="27" hidden="0" customWidth="1"/>
    <x:col min="32" max="32" width="27" hidden="0" customWidth="1"/>
    <x:col min="33" max="33" width="65" hidden="0" customWidth="1"/>
  </x:cols>
  <x:sheetData>
    <x:row r="1" ht="30" customHeight="1">
      <x:c r="A1" s="133" t="str">
        <x:v>ApexCloud Solutions - Cyber Risk Register</x:v>
      </x:c>
      <x:c r="B1" s="133"/>
      <x:c r="C1" s="133"/>
      <x:c r="D1" s="133"/>
      <x:c r="E1" s="133"/>
      <x:c r="F1" s="133"/>
      <x:c r="G1" s="133"/>
      <x:c r="H1" s="133"/>
      <x:c r="I1" s="114"/>
      <x:c r="J1" s="114"/>
      <x:c r="K1" s="114"/>
      <x:c r="L1" s="114"/>
      <x:c r="M1" s="114"/>
      <x:c r="N1" s="114"/>
      <x:c r="O1" s="114"/>
      <x:c r="P1" s="114"/>
      <x:c r="Q1" s="114"/>
      <x:c r="R1" s="114"/>
      <x:c r="S1" s="114"/>
      <x:c r="T1" s="114"/>
      <x:c r="U1" s="114"/>
      <x:c r="V1" s="114"/>
      <x:c r="W1" s="114"/>
      <x:c r="X1" s="114"/>
      <x:c r="Y1" s="114"/>
      <x:c r="Z1" s="114"/>
      <x:c r="AA1" s="114"/>
      <x:c r="AB1" s="114"/>
      <x:c r="AC1" s="114"/>
      <x:c r="AD1" s="114"/>
      <x:c r="AE1" s="114"/>
      <x:c r="AF1" s="114"/>
      <x:c r="AG1" s="114"/>
    </x:row>
    <x:row r="2" ht="30" customHeight="1">
      <x:c r="A2" s="136" t="str">
        <x:v>Fictional SaaS assessment. Yellow cells are inputs. Gray cells calculate results. Evidence requests and tests are proposed, not completed.</x:v>
      </x:c>
      <x:c r="B2" s="137"/>
      <x:c r="C2" s="137"/>
      <x:c r="D2" s="137"/>
      <x:c r="E2" s="137"/>
      <x:c r="F2" s="137"/>
      <x:c r="G2" s="137"/>
      <x:c r="H2" s="137"/>
      <x:c r="I2" s="114"/>
      <x:c r="J2" s="114"/>
      <x:c r="K2" s="114"/>
      <x:c r="L2" s="114"/>
      <x:c r="M2" s="114"/>
      <x:c r="N2" s="114"/>
      <x:c r="O2" s="114"/>
      <x:c r="P2" s="114"/>
      <x:c r="Q2" s="114"/>
      <x:c r="R2" s="114"/>
      <x:c r="S2" s="114"/>
      <x:c r="T2" s="114"/>
      <x:c r="U2" s="114"/>
      <x:c r="V2" s="114"/>
      <x:c r="W2" s="114"/>
      <x:c r="X2" s="114"/>
      <x:c r="Y2" s="114"/>
      <x:c r="Z2" s="114"/>
      <x:c r="AA2" s="114"/>
      <x:c r="AB2" s="114"/>
      <x:c r="AC2" s="114"/>
      <x:c r="AD2" s="114"/>
      <x:c r="AE2" s="114"/>
      <x:c r="AF2" s="114"/>
      <x:c r="AG2" s="114"/>
    </x:row>
    <x:row r="3">
      <x:c r="A3" s="114"/>
      <x:c r="B3" s="114"/>
      <x:c r="C3" s="114"/>
      <x:c r="D3" s="114"/>
      <x:c r="E3" s="114"/>
      <x:c r="F3" s="114"/>
      <x:c r="G3" s="114"/>
      <x:c r="H3" s="114"/>
      <x:c r="I3" s="114"/>
      <x:c r="J3" s="114"/>
      <x:c r="K3" s="114"/>
      <x:c r="L3" s="114"/>
      <x:c r="M3" s="114"/>
      <x:c r="N3" s="114"/>
      <x:c r="O3" s="114"/>
      <x:c r="P3" s="114"/>
      <x:c r="Q3" s="114"/>
      <x:c r="R3" s="114"/>
      <x:c r="S3" s="114"/>
      <x:c r="T3" s="114"/>
      <x:c r="U3" s="114"/>
      <x:c r="V3" s="114"/>
      <x:c r="W3" s="114"/>
      <x:c r="X3" s="114"/>
      <x:c r="Y3" s="114"/>
      <x:c r="Z3" s="114"/>
      <x:c r="AA3" s="114"/>
      <x:c r="AB3" s="114"/>
      <x:c r="AC3" s="114"/>
      <x:c r="AD3" s="114"/>
      <x:c r="AE3" s="114"/>
      <x:c r="AF3" s="114"/>
      <x:c r="AG3" s="114"/>
    </x:row>
    <x:row r="4" ht="48" customHeight="1">
      <x:c r="A4" s="143" t="str">
        <x:v>Risk ID</x:v>
      </x:c>
      <x:c r="B4" s="143" t="str">
        <x:v>Category</x:v>
      </x:c>
      <x:c r="C4" s="143" t="str">
        <x:v>Asset / Process</x:v>
      </x:c>
      <x:c r="D4" s="143" t="str">
        <x:v>Risk Statement</x:v>
      </x:c>
      <x:c r="E4" s="143" t="str">
        <x:v>Threat / Event</x:v>
      </x:c>
      <x:c r="F4" s="143" t="str">
        <x:v>Vulnerability / Condition</x:v>
      </x:c>
      <x:c r="G4" s="143" t="str">
        <x:v>Likelihood</x:v>
      </x:c>
      <x:c r="H4" s="143" t="str">
        <x:v>Impact</x:v>
      </x:c>
      <x:c r="I4" s="143" t="str">
        <x:v>Inherent Score</x:v>
      </x:c>
      <x:c r="J4" s="143" t="str">
        <x:v>Inherent Rating</x:v>
      </x:c>
      <x:c r="K4" s="143" t="str">
        <x:v>Existing Controls</x:v>
      </x:c>
      <x:c r="L4" s="143" t="str">
        <x:v>Control Effectiveness</x:v>
      </x:c>
      <x:c r="M4" s="143" t="str">
        <x:v>Residual Likelihood</x:v>
      </x:c>
      <x:c r="N4" s="143" t="str">
        <x:v>Residual Impact</x:v>
      </x:c>
      <x:c r="O4" s="143" t="str">
        <x:v>Residual Score</x:v>
      </x:c>
      <x:c r="P4" s="143" t="str">
        <x:v>Residual Rating</x:v>
      </x:c>
      <x:c r="Q4" s="143" t="str">
        <x:v>Treatment</x:v>
      </x:c>
      <x:c r="R4" s="143" t="str">
        <x:v>Recommended Action</x:v>
      </x:c>
      <x:c r="S4" s="143" t="str">
        <x:v>Owner</x:v>
      </x:c>
      <x:c r="T4" s="143" t="str">
        <x:v>Status</x:v>
      </x:c>
      <x:c r="U4" s="143" t="str">
        <x:v>Target Date</x:v>
      </x:c>
      <x:c r="V4" s="143" t="str">
        <x:v>NIST CSF Function</x:v>
      </x:c>
      <x:c r="W4" s="143" t="str">
        <x:v>CIS Control Reference</x:v>
      </x:c>
      <x:c r="X4" s="143" t="str">
        <x:v>Evidence / Notes</x:v>
      </x:c>
      <x:c r="Y4" s="143" t="str">
        <x:v>Assessment Rationale</x:v>
      </x:c>
      <x:c r="Z4" s="143" t="str">
        <x:v>Evidence Basis</x:v>
      </x:c>
      <x:c r="AA4" s="143" t="str">
        <x:v>Evidence Reference or Request</x:v>
      </x:c>
      <x:c r="AB4" s="143" t="str">
        <x:v>Assessment Review Date</x:v>
      </x:c>
      <x:c r="AC4" s="143" t="str">
        <x:v>Closure or Acceptance Note</x:v>
      </x:c>
      <x:c r="AD4" s="143" t="str">
        <x:v>Input Check</x:v>
      </x:c>
      <x:c r="AE4" s="143" t="str">
        <x:v>Follow-up Check</x:v>
      </x:c>
      <x:c r="AF4" s="143" t="str">
        <x:v>Related Gap IDs</x:v>
      </x:c>
      <x:c r="AG4" s="143" t="str">
        <x:v>Completion / Acceptance Test</x:v>
      </x:c>
    </x:row>
    <x:row r="5" ht="92" customHeight="1">
      <x:c r="A5" s="128" t="str">
        <x:v>R-001</x:v>
      </x:c>
      <x:c r="B5" s="128" t="str">
        <x:v>Identity &amp; Access</x:v>
      </x:c>
      <x:c r="C5" s="128" t="str">
        <x:v>Identity platform</x:v>
      </x:c>
      <x:c r="D5" s="128" t="str">
        <x:v>A stolen privileged account could give an attacker administrative access to business systems and customer data.</x:v>
      </x:c>
      <x:c r="E5" s="128" t="str">
        <x:v>Credential phishing</x:v>
      </x:c>
      <x:c r="F5" s="128" t="str">
        <x:v>Privileged administrators do not consistently use phishing-resistant MFA</x:v>
      </x:c>
      <x:c r="G5" s="128" t="n">
        <x:v>4</x:v>
      </x:c>
      <x:c r="H5" s="128" t="n">
        <x:v>5</x:v>
      </x:c>
      <x:c r="I5" s="138" t="n">
        <x:f>IF(A5="","",IF(COUNT(G5,H5)&lt;&gt;2,"",IF(AND(G5&gt;=1,G5&lt;=5,H5&gt;=1,H5&lt;=5,MOD(G5,1)=0,MOD(H5,1)=0),G5*H5,"")))</x:f>
        <x:v>20</x:v>
      </x:c>
      <x:c r="J5" s="138" t="str">
        <x:f>IF(A5="","",IF(ISNUMBER(I5),IF(I5&gt;=16,"Critical",IF(I5&gt;=10,"High",IF(I5&gt;=5,"Medium","Low"))),"Not assessed"))</x:f>
        <x:v>Critical</x:v>
      </x:c>
      <x:c r="K5" s="128" t="str">
        <x:v>Standard MFA; password policy; sign-in logging</x:v>
      </x:c>
      <x:c r="L5" s="128" t="str">
        <x:v>Partially Effective</x:v>
      </x:c>
      <x:c r="M5" s="128" t="n">
        <x:v>3</x:v>
      </x:c>
      <x:c r="N5" s="128" t="n">
        <x:v>5</x:v>
      </x:c>
      <x:c r="O5" s="138" t="n">
        <x:f>IF(A5="","",IF(COUNT(M5,N5)&lt;&gt;2,"",IF(AND(M5&gt;=1,M5&lt;=5,N5&gt;=1,N5&lt;=5,MOD(M5,1)=0,MOD(N5,1)=0),M5*N5,"")))</x:f>
        <x:v>15</x:v>
      </x:c>
      <x:c r="P5" s="138" t="str">
        <x:f>IF(A5="","",IF(ISNUMBER(O5),IF(O5&gt;=16,"Critical",IF(O5&gt;=10,"High",IF(O5&gt;=5,"Medium","Low"))),"Not assessed"))</x:f>
        <x:v>High</x:v>
      </x:c>
      <x:c r="Q5" s="128" t="str">
        <x:v>Mitigate</x:v>
      </x:c>
      <x:c r="R5" s="128" t="str">
        <x:v>Require phishing-resistant MFA for privileged roles and review privileged access quarterly.</x:v>
      </x:c>
      <x:c r="S5" s="128" t="str">
        <x:v>IT Manager</x:v>
      </x:c>
      <x:c r="T5" s="128" t="str">
        <x:v>In Progress</x:v>
      </x:c>
      <x:c r="U5" s="130" t="n">
        <x:v>46302</x:v>
      </x:c>
      <x:c r="V5" s="128" t="str">
        <x:v>Protect</x:v>
      </x:c>
      <x:c r="W5" s="128" t="str">
        <x:v>CIS 5, 6</x:v>
      </x:c>
      <x:c r="X5" s="128" t="str">
        <x:v>Fictional scenario. Evidence listed at right has not been collected; completion test is proposed.</x:v>
      </x:c>
      <x:c r="Y5" s="128" t="str">
        <x:v>Privileged accounts can reach customer data and core administration, so impact is 5. Standard MFA adds a barrier, reducing likelihood from 4 to 3; incomplete phishing-resistant coverage prevents a lower estimate. No control here limits the damage after administrator takeover.</x:v>
      </x:c>
      <x:c r="Z5" s="128" t="str">
        <x:v>Scenario only</x:v>
      </x:c>
      <x:c r="AA5" s="128" t="str">
        <x:v>Privileged account list, MFA enforcement settings, exception list and recent sign-in records.</x:v>
      </x:c>
      <x:c r="AB5" s="130" t="n">
        <x:v>46298</x:v>
      </x:c>
      <x:c r="AC5" s="128"/>
      <x:c r="AD5" s="138" t="str">
        <x:f>IF(COUNTA(A5:H5,K5:N5,Q5:AC5,AF5:AG5)=0,"",IF(A5="","Missing ID",IF(COUNTIF($A$5:$A$104,A5)&gt;1,"Duplicate ID",IF(OR(B5="",C5="",D5="",E5="",F5="",K5="",L5="",R5=""),"Missing assessment context",IF(OR(NOT(ISNUMBER(I5)),NOT(ISNUMBER(O5))),"Incomplete or invalid scores",IF(OR(S5="",NOT(OR(T5="Open",T5="Planned",T5="In Progress",T5="Closed",T5="Accepted"))),"Missing owner or invalid status",IF(NOT(ISNUMBER(U5)),"Missing or invalid target date",IF(U5&lt;=0,"Missing or invalid target date",IF(NOT(OR(Q5="Mitigate",Q5="Accept",Q5="Transfer",Q5="Avoid")),"Invalid treatment",IF(AND(T5="Accepted",Q5&lt;&gt;"Accept"),"Treatment/status conflict",IF(OR(M5&gt;G5,N5&gt;H5),"Review residual increase","OK")))))))))))</x:f>
        <x:v>OK</x:v>
      </x:c>
      <x:c r="AE5" s="138" t="str">
        <x:f>IF(A5="","",IF(OR(Y5="",NOT(OR(Z5="Scenario only",Z5="Evidence requested",Z5="Evidence reviewed")),AA5="",NOT(ISNUMBER(AB5)),AF5="",AG5=""),"Add assessment support",IF(OR(AB5&lt;=0,AB5&gt;Methodology!$B$25),"Review date outside period",IF(AND(OR(T5="Closed",T5="Accepted"),OR(AC5="",Z5&lt;&gt;"Evidence reviewed")),"Closure review needed",IF(OR(T5="Closed",T5="Accepted"),"Decision recorded",IF(Z5="Evidence reviewed","Evidence recorded","Scenario documented"))))))</x:f>
        <x:v>Scenario documented</x:v>
      </x:c>
      <x:c r="AF5" s="128" t="str">
        <x:v>GA-012, GA-013, GA-022</x:v>
      </x:c>
      <x:c r="AG5" s="128" t="str">
        <x:v>Reconcile every privileged account to enforced phishing-resistant MFA; test a blocked noncompliant sign-in and review approved recovery exceptions.</x:v>
      </x:c>
    </x:row>
    <x:row r="6" ht="92" customHeight="1">
      <x:c r="A6" s="128" t="str">
        <x:v>R-002</x:v>
      </x:c>
      <x:c r="B6" s="128" t="str">
        <x:v>Identity &amp; Access</x:v>
      </x:c>
      <x:c r="C6" s="128" t="str">
        <x:v>Employee accounts</x:v>
      </x:c>
      <x:c r="D6" s="128" t="str">
        <x:v>A terminated employee account could remain active and be used to access company systems after separation.</x:v>
      </x:c>
      <x:c r="E6" s="128" t="str">
        <x:v>Insider misuse / account takeover</x:v>
      </x:c>
      <x:c r="F6" s="128" t="str">
        <x:v>Offboarding depends on manual HR-to-IT steps</x:v>
      </x:c>
      <x:c r="G6" s="128" t="n">
        <x:v>3</x:v>
      </x:c>
      <x:c r="H6" s="128" t="n">
        <x:v>5</x:v>
      </x:c>
      <x:c r="I6" s="138" t="n">
        <x:f>IF(A6="","",IF(COUNT(G6,H6)&lt;&gt;2,"",IF(AND(G6&gt;=1,G6&lt;=5,H6&gt;=1,H6&lt;=5,MOD(G6,1)=0,MOD(H6,1)=0),G6*H6,"")))</x:f>
        <x:v>15</x:v>
      </x:c>
      <x:c r="J6" s="138" t="str">
        <x:f>IF(A6="","",IF(ISNUMBER(I6),IF(I6&gt;=16,"Critical",IF(I6&gt;=10,"High",IF(I6&gt;=5,"Medium","Low"))),"Not assessed"))</x:f>
        <x:v>High</x:v>
      </x:c>
      <x:c r="K6" s="128" t="str">
        <x:v>HR ticket; manual account disablement</x:v>
      </x:c>
      <x:c r="L6" s="128" t="str">
        <x:v>Partially Effective</x:v>
      </x:c>
      <x:c r="M6" s="128" t="n">
        <x:v>2</x:v>
      </x:c>
      <x:c r="N6" s="128" t="n">
        <x:v>5</x:v>
      </x:c>
      <x:c r="O6" s="138" t="n">
        <x:f>IF(A6="","",IF(COUNT(M6,N6)&lt;&gt;2,"",IF(AND(M6&gt;=1,M6&lt;=5,N6&gt;=1,N6&lt;=5,MOD(M6,1)=0,MOD(N6,1)=0),M6*N6,"")))</x:f>
        <x:v>10</x:v>
      </x:c>
      <x:c r="P6" s="138" t="str">
        <x:f>IF(A6="","",IF(ISNUMBER(O6),IF(O6&gt;=16,"Critical",IF(O6&gt;=10,"High",IF(O6&gt;=5,"Medium","Low"))),"Not assessed"))</x:f>
        <x:v>High</x:v>
      </x:c>
      <x:c r="Q6" s="128" t="str">
        <x:v>Mitigate</x:v>
      </x:c>
      <x:c r="R6" s="128" t="str">
        <x:v>Formalize joiner-mover-leaver workflow and review inactive accounts monthly.</x:v>
      </x:c>
      <x:c r="S6" s="128" t="str">
        <x:v>HR Manager</x:v>
      </x:c>
      <x:c r="T6" s="128" t="str">
        <x:v>Planned</x:v>
      </x:c>
      <x:c r="U6" s="130" t="n">
        <x:v>46317</x:v>
      </x:c>
      <x:c r="V6" s="128" t="str">
        <x:v>Govern / Protect</x:v>
      </x:c>
      <x:c r="W6" s="128" t="str">
        <x:v>CIS 5, 6</x:v>
      </x:c>
      <x:c r="X6" s="128" t="str">
        <x:v>Fictional scenario. Evidence listed at right has not been collected; completion test is proposed.</x:v>
      </x:c>
      <x:c r="Y6" s="128" t="str">
        <x:v>A missed termination could leave an account usable, giving likelihood 3. The HR ticket and manual disablement step reduce this to 2. Impact remains 5 because access could include sensitive systems; disabling accounts has not been tested.</x:v>
      </x:c>
      <x:c r="Z6" s="128" t="str">
        <x:v>Scenario only</x:v>
      </x:c>
      <x:c r="AA6" s="128" t="str">
        <x:v>Departure list, HR tickets, identity disablement timestamps and application session-revocation records.</x:v>
      </x:c>
      <x:c r="AB6" s="130" t="n">
        <x:v>46298</x:v>
      </x:c>
      <x:c r="AC6" s="128"/>
      <x:c r="AD6" s="138" t="str">
        <x:f>IF(COUNTA(A6:H6,K6:N6,Q6:AC6,AF6:AG6)=0,"",IF(A6="","Missing ID",IF(COUNTIF($A$5:$A$104,A6)&gt;1,"Duplicate ID",IF(OR(B6="",C6="",D6="",E6="",F6="",K6="",L6="",R6=""),"Missing assessment context",IF(OR(NOT(ISNUMBER(I6)),NOT(ISNUMBER(O6))),"Incomplete or invalid scores",IF(OR(S6="",NOT(OR(T6="Open",T6="Planned",T6="In Progress",T6="Closed",T6="Accepted"))),"Missing owner or invalid status",IF(NOT(ISNUMBER(U6)),"Missing or invalid target date",IF(U6&lt;=0,"Missing or invalid target date",IF(NOT(OR(Q6="Mitigate",Q6="Accept",Q6="Transfer",Q6="Avoid")),"Invalid treatment",IF(AND(T6="Accepted",Q6&lt;&gt;"Accept"),"Treatment/status conflict",IF(OR(M6&gt;G6,N6&gt;H6),"Review residual increase","OK")))))))))))</x:f>
        <x:v>OK</x:v>
      </x:c>
      <x:c r="AE6" s="138" t="str">
        <x:f>IF(A6="","",IF(OR(Y6="",NOT(OR(Z6="Scenario only",Z6="Evidence requested",Z6="Evidence reviewed")),AA6="",NOT(ISNUMBER(AB6)),AF6="",AG6=""),"Add assessment support",IF(OR(AB6&lt;=0,AB6&gt;Methodology!$B$25),"Review date outside period",IF(AND(OR(T6="Closed",T6="Accepted"),OR(AC6="",Z6&lt;&gt;"Evidence reviewed")),"Closure review needed",IF(OR(T6="Closed",T6="Accepted"),"Decision recorded",IF(Z6="Evidence reviewed","Evidence recorded","Scenario documented"))))))</x:f>
        <x:v>Scenario documented</x:v>
      </x:c>
      <x:c r="AF6" s="128" t="str">
        <x:v>GA-013</x:v>
      </x:c>
      <x:c r="AG6" s="128" t="str">
        <x:v>Compare recent departures with all assigned applications; confirm disablement met the approved deadline and active sessions were revoked.</x:v>
      </x:c>
    </x:row>
    <x:row r="7" ht="92" customHeight="1">
      <x:c r="A7" s="128" t="str">
        <x:v>R-003</x:v>
      </x:c>
      <x:c r="B7" s="128" t="str">
        <x:v>Identity &amp; Access</x:v>
      </x:c>
      <x:c r="C7" s="128" t="str">
        <x:v>Microsoft 365</x:v>
      </x:c>
      <x:c r="D7" s="128" t="str">
        <x:v>Excessive group or role permissions could expose sensitive files to users who do not need access.</x:v>
      </x:c>
      <x:c r="E7" s="128" t="str">
        <x:v>Privilege misuse</x:v>
      </x:c>
      <x:c r="F7" s="128" t="str">
        <x:v>Access is granted over time without recurring certification</x:v>
      </x:c>
      <x:c r="G7" s="128" t="n">
        <x:v>4</x:v>
      </x:c>
      <x:c r="H7" s="128" t="n">
        <x:v>4</x:v>
      </x:c>
      <x:c r="I7" s="138" t="n">
        <x:f>IF(A7="","",IF(COUNT(G7,H7)&lt;&gt;2,"",IF(AND(G7&gt;=1,G7&lt;=5,H7&gt;=1,H7&lt;=5,MOD(G7,1)=0,MOD(H7,1)=0),G7*H7,"")))</x:f>
        <x:v>16</x:v>
      </x:c>
      <x:c r="J7" s="138" t="str">
        <x:f>IF(A7="","",IF(ISNUMBER(I7),IF(I7&gt;=16,"Critical",IF(I7&gt;=10,"High",IF(I7&gt;=5,"Medium","Low"))),"Not assessed"))</x:f>
        <x:v>Critical</x:v>
      </x:c>
      <x:c r="K7" s="128" t="str">
        <x:v>Manager approval; role-based groups</x:v>
      </x:c>
      <x:c r="L7" s="128" t="str">
        <x:v>Partially Effective</x:v>
      </x:c>
      <x:c r="M7" s="128" t="n">
        <x:v>3</x:v>
      </x:c>
      <x:c r="N7" s="128" t="n">
        <x:v>4</x:v>
      </x:c>
      <x:c r="O7" s="138" t="n">
        <x:f>IF(A7="","",IF(COUNT(M7,N7)&lt;&gt;2,"",IF(AND(M7&gt;=1,M7&lt;=5,N7&gt;=1,N7&lt;=5,MOD(M7,1)=0,MOD(N7,1)=0),M7*N7,"")))</x:f>
        <x:v>12</x:v>
      </x:c>
      <x:c r="P7" s="138" t="str">
        <x:f>IF(A7="","",IF(ISNUMBER(O7),IF(O7&gt;=16,"Critical",IF(O7&gt;=10,"High",IF(O7&gt;=5,"Medium","Low"))),"Not assessed"))</x:f>
        <x:v>High</x:v>
      </x:c>
      <x:c r="Q7" s="128" t="str">
        <x:v>Mitigate</x:v>
      </x:c>
      <x:c r="R7" s="128" t="str">
        <x:v>Run quarterly access reviews and remove unnecessary permissions.</x:v>
      </x:c>
      <x:c r="S7" s="128" t="str">
        <x:v>IT Manager</x:v>
      </x:c>
      <x:c r="T7" s="128" t="str">
        <x:v>In Progress</x:v>
      </x:c>
      <x:c r="U7" s="130" t="n">
        <x:v>46332</x:v>
      </x:c>
      <x:c r="V7" s="128" t="str">
        <x:v>Protect</x:v>
      </x:c>
      <x:c r="W7" s="128" t="str">
        <x:v>CIS 6</x:v>
      </x:c>
      <x:c r="X7" s="128" t="str">
        <x:v>Fictional scenario. Evidence listed at right has not been collected; completion test is proposed.</x:v>
      </x:c>
      <x:c r="Y7" s="128" t="str">
        <x:v>Broad group permissions create a likely exposure path (4) with major confidentiality impact (4). Manager approval and role groups reduce likelihood to 3, but no recurring recertification is demonstrated. Impact stays 4.</x:v>
      </x:c>
      <x:c r="Z7" s="128" t="str">
        <x:v>Scenario only</x:v>
      </x:c>
      <x:c r="AA7" s="128" t="str">
        <x:v>Group membership export, role definitions, data-owner list and access-review decisions.</x:v>
      </x:c>
      <x:c r="AB7" s="130" t="n">
        <x:v>46298</x:v>
      </x:c>
      <x:c r="AC7" s="128"/>
      <x:c r="AD7" s="138" t="str">
        <x:f>IF(COUNTA(A7:H7,K7:N7,Q7:AC7,AF7:AG7)=0,"",IF(A7="","Missing ID",IF(COUNTIF($A$5:$A$104,A7)&gt;1,"Duplicate ID",IF(OR(B7="",C7="",D7="",E7="",F7="",K7="",L7="",R7=""),"Missing assessment context",IF(OR(NOT(ISNUMBER(I7)),NOT(ISNUMBER(O7))),"Incomplete or invalid scores",IF(OR(S7="",NOT(OR(T7="Open",T7="Planned",T7="In Progress",T7="Closed",T7="Accepted"))),"Missing owner or invalid status",IF(NOT(ISNUMBER(U7)),"Missing or invalid target date",IF(U7&lt;=0,"Missing or invalid target date",IF(NOT(OR(Q7="Mitigate",Q7="Accept",Q7="Transfer",Q7="Avoid")),"Invalid treatment",IF(AND(T7="Accepted",Q7&lt;&gt;"Accept"),"Treatment/status conflict",IF(OR(M7&gt;G7,N7&gt;H7),"Review residual increase","OK")))))))))))</x:f>
        <x:v>OK</x:v>
      </x:c>
      <x:c r="AE7" s="138" t="str">
        <x:f>IF(A7="","",IF(OR(Y7="",NOT(OR(Z7="Scenario only",Z7="Evidence requested",Z7="Evidence reviewed")),AA7="",NOT(ISNUMBER(AB7)),AF7="",AG7=""),"Add assessment support",IF(OR(AB7&lt;=0,AB7&gt;Methodology!$B$25),"Review date outside period",IF(AND(OR(T7="Closed",T7="Accepted"),OR(AC7="",Z7&lt;&gt;"Evidence reviewed")),"Closure review needed",IF(OR(T7="Closed",T7="Accepted"),"Decision recorded",IF(Z7="Evidence reviewed","Evidence recorded","Scenario documented"))))))</x:f>
        <x:v>Scenario documented</x:v>
      </x:c>
      <x:c r="AF7" s="128" t="str">
        <x:v>GA-013, GA-015</x:v>
      </x:c>
      <x:c r="AG7" s="128" t="str">
        <x:v>Have data owners review sensitive groups; remove unjustified access and retest with a user who should be denied.</x:v>
      </x:c>
    </x:row>
    <x:row r="8" ht="92" customHeight="1">
      <x:c r="A8" s="128" t="str">
        <x:v>R-004</x:v>
      </x:c>
      <x:c r="B8" s="128" t="str">
        <x:v>Cloud Security</x:v>
      </x:c>
      <x:c r="C8" s="128" t="str">
        <x:v>Production cloud environment</x:v>
      </x:c>
      <x:c r="D8" s="128" t="str">
        <x:v>Overly permissive network rules could expose an internal service to the internet.</x:v>
      </x:c>
      <x:c r="E8" s="128" t="str">
        <x:v>External attacker</x:v>
      </x:c>
      <x:c r="F8" s="128" t="str">
        <x:v>Cloud security groups permit broader inbound access than required</x:v>
      </x:c>
      <x:c r="G8" s="128" t="n">
        <x:v>4</x:v>
      </x:c>
      <x:c r="H8" s="128" t="n">
        <x:v>5</x:v>
      </x:c>
      <x:c r="I8" s="138" t="n">
        <x:f>IF(A8="","",IF(COUNT(G8,H8)&lt;&gt;2,"",IF(AND(G8&gt;=1,G8&lt;=5,H8&gt;=1,H8&lt;=5,MOD(G8,1)=0,MOD(H8,1)=0),G8*H8,"")))</x:f>
        <x:v>20</x:v>
      </x:c>
      <x:c r="J8" s="138" t="str">
        <x:f>IF(A8="","",IF(ISNUMBER(I8),IF(I8&gt;=16,"Critical",IF(I8&gt;=10,"High",IF(I8&gt;=5,"Medium","Low"))),"Not assessed"))</x:f>
        <x:v>Critical</x:v>
      </x:c>
      <x:c r="K8" s="128" t="str">
        <x:v>Cloud firewall; manual reviews</x:v>
      </x:c>
      <x:c r="L8" s="128" t="str">
        <x:v>Partially Effective</x:v>
      </x:c>
      <x:c r="M8" s="128" t="n">
        <x:v>3</x:v>
      </x:c>
      <x:c r="N8" s="128" t="n">
        <x:v>5</x:v>
      </x:c>
      <x:c r="O8" s="138" t="n">
        <x:f>IF(A8="","",IF(COUNT(M8,N8)&lt;&gt;2,"",IF(AND(M8&gt;=1,M8&lt;=5,N8&gt;=1,N8&lt;=5,MOD(M8,1)=0,MOD(N8,1)=0),M8*N8,"")))</x:f>
        <x:v>15</x:v>
      </x:c>
      <x:c r="P8" s="138" t="str">
        <x:f>IF(A8="","",IF(ISNUMBER(O8),IF(O8&gt;=16,"Critical",IF(O8&gt;=10,"High",IF(O8&gt;=5,"Medium","Low"))),"Not assessed"))</x:f>
        <x:v>High</x:v>
      </x:c>
      <x:c r="Q8" s="128" t="str">
        <x:v>Mitigate</x:v>
      </x:c>
      <x:c r="R8" s="128" t="str">
        <x:v>Restrict ingress to approved ports and sources; add recurring configuration reviews.</x:v>
      </x:c>
      <x:c r="S8" s="128" t="str">
        <x:v>Cloud Owner</x:v>
      </x:c>
      <x:c r="T8" s="128" t="str">
        <x:v>In Progress</x:v>
      </x:c>
      <x:c r="U8" s="130" t="n">
        <x:v>46293</x:v>
      </x:c>
      <x:c r="V8" s="128" t="str">
        <x:v>Protect</x:v>
      </x:c>
      <x:c r="W8" s="128" t="str">
        <x:v>CIS 4, 12</x:v>
      </x:c>
      <x:c r="X8" s="128" t="str">
        <x:v>Fictional scenario. Evidence listed at right has not been collected; completion test is proposed.</x:v>
      </x:c>
      <x:c r="Y8" s="128" t="str">
        <x:v>Internet exposure of an internal service gives likelihood 4 and severe impact 5. Existing firewalls and manual review reduce likelihood to 3, but permissive rules remain possible. Proposed automated checks receive no current risk credit.</x:v>
      </x:c>
      <x:c r="Z8" s="128" t="str">
        <x:v>Scenario only</x:v>
      </x:c>
      <x:c r="AA8" s="128" t="str">
        <x:v>Cloud firewall/security-group exports, service inventory, exposure scan and rule-change approvals.</x:v>
      </x:c>
      <x:c r="AB8" s="130" t="n">
        <x:v>46298</x:v>
      </x:c>
      <x:c r="AC8" s="128"/>
      <x:c r="AD8" s="138" t="str">
        <x:f>IF(COUNTA(A8:H8,K8:N8,Q8:AC8,AF8:AG8)=0,"",IF(A8="","Missing ID",IF(COUNTIF($A$5:$A$104,A8)&gt;1,"Duplicate ID",IF(OR(B8="",C8="",D8="",E8="",F8="",K8="",L8="",R8=""),"Missing assessment context",IF(OR(NOT(ISNUMBER(I8)),NOT(ISNUMBER(O8))),"Incomplete or invalid scores",IF(OR(S8="",NOT(OR(T8="Open",T8="Planned",T8="In Progress",T8="Closed",T8="Accepted"))),"Missing owner or invalid status",IF(NOT(ISNUMBER(U8)),"Missing or invalid target date",IF(U8&lt;=0,"Missing or invalid target date",IF(NOT(OR(Q8="Mitigate",Q8="Accept",Q8="Transfer",Q8="Avoid")),"Invalid treatment",IF(AND(T8="Accepted",Q8&lt;&gt;"Accept"),"Treatment/status conflict",IF(OR(M8&gt;G8,N8&gt;H8),"Review residual increase","OK")))))))))))</x:f>
        <x:v>OK</x:v>
      </x:c>
      <x:c r="AE8" s="138" t="str">
        <x:f>IF(A8="","",IF(OR(Y8="",NOT(OR(Z8="Scenario only",Z8="Evidence requested",Z8="Evidence reviewed")),AA8="",NOT(ISNUMBER(AB8)),AF8="",AG8=""),"Add assessment support",IF(OR(AB8&lt;=0,AB8&gt;Methodology!$B$25),"Review date outside period",IF(AND(OR(T8="Closed",T8="Accepted"),OR(AC8="",Z8&lt;&gt;"Evidence reviewed")),"Closure review needed",IF(OR(T8="Closed",T8="Accepted"),"Decision recorded",IF(Z8="Evidence reviewed","Evidence recorded","Scenario documented"))))))</x:f>
        <x:v>Scenario documented</x:v>
      </x:c>
      <x:c r="AF8" s="128" t="str">
        <x:v>GA-016, GA-020, GA-022</x:v>
      </x:c>
      <x:c r="AG8" s="128" t="str">
        <x:v>Reconcile internet-facing rules to approved services; remove excessive sources and verify blocked access from an external test location.</x:v>
      </x:c>
    </x:row>
    <x:row r="9" ht="92" customHeight="1">
      <x:c r="A9" s="128" t="str">
        <x:v>R-005</x:v>
      </x:c>
      <x:c r="B9" s="128" t="str">
        <x:v>Cloud Security</x:v>
      </x:c>
      <x:c r="C9" s="128" t="str">
        <x:v>Production database</x:v>
      </x:c>
      <x:c r="D9" s="128" t="str">
        <x:v>A cloud misconfiguration could expose restricted customer data to unauthorized users.</x:v>
      </x:c>
      <x:c r="E9" s="128" t="str">
        <x:v>Misconfiguration / external access</x:v>
      </x:c>
      <x:c r="F9" s="128" t="str">
        <x:v>Database or storage access settings are not continuously checked</x:v>
      </x:c>
      <x:c r="G9" s="128" t="n">
        <x:v>3</x:v>
      </x:c>
      <x:c r="H9" s="128" t="n">
        <x:v>5</x:v>
      </x:c>
      <x:c r="I9" s="138" t="n">
        <x:f>IF(A9="","",IF(COUNT(G9,H9)&lt;&gt;2,"",IF(AND(G9&gt;=1,G9&lt;=5,H9&gt;=1,H9&lt;=5,MOD(G9,1)=0,MOD(H9,1)=0),G9*H9,"")))</x:f>
        <x:v>15</x:v>
      </x:c>
      <x:c r="J9" s="138" t="str">
        <x:f>IF(A9="","",IF(ISNUMBER(I9),IF(I9&gt;=16,"Critical",IF(I9&gt;=10,"High",IF(I9&gt;=5,"Medium","Low"))),"Not assessed"))</x:f>
        <x:v>High</x:v>
      </x:c>
      <x:c r="K9" s="128" t="str">
        <x:v>Encryption at rest; IAM roles</x:v>
      </x:c>
      <x:c r="L9" s="128" t="str">
        <x:v>Partially Effective</x:v>
      </x:c>
      <x:c r="M9" s="128" t="n">
        <x:v>2</x:v>
      </x:c>
      <x:c r="N9" s="128" t="n">
        <x:v>5</x:v>
      </x:c>
      <x:c r="O9" s="138" t="n">
        <x:f>IF(A9="","",IF(COUNT(M9,N9)&lt;&gt;2,"",IF(AND(M9&gt;=1,M9&lt;=5,N9&gt;=1,N9&lt;=5,MOD(M9,1)=0,MOD(N9,1)=0),M9*N9,"")))</x:f>
        <x:v>10</x:v>
      </x:c>
      <x:c r="P9" s="138" t="str">
        <x:f>IF(A9="","",IF(ISNUMBER(O9),IF(O9&gt;=16,"Critical",IF(O9&gt;=10,"High",IF(O9&gt;=5,"Medium","Low"))),"Not assessed"))</x:f>
        <x:v>High</x:v>
      </x:c>
      <x:c r="Q9" s="128" t="str">
        <x:v>Mitigate</x:v>
      </x:c>
      <x:c r="R9" s="128" t="str">
        <x:v>Use private access, policy checks, and alerts for public exposure.</x:v>
      </x:c>
      <x:c r="S9" s="128" t="str">
        <x:v>Data Owner</x:v>
      </x:c>
      <x:c r="T9" s="128" t="str">
        <x:v>Planned</x:v>
      </x:c>
      <x:c r="U9" s="130" t="n">
        <x:v>46302</x:v>
      </x:c>
      <x:c r="V9" s="128" t="str">
        <x:v>Protect / Detect</x:v>
      </x:c>
      <x:c r="W9" s="128" t="str">
        <x:v>CIS 3, 4</x:v>
      </x:c>
      <x:c r="X9" s="128" t="str">
        <x:v>Fictional scenario. Evidence listed at right has not been collected; completion test is proposed.</x:v>
      </x:c>
      <x:c r="Y9" s="128" t="str">
        <x:v>A storage permissions error is possible (3) and could disclose customer data (5). IAM roles reduce likelihood to 2. Encryption at rest does not prevent disclosure through an authorized public access path, so impact remains 5.</x:v>
      </x:c>
      <x:c r="Z9" s="128" t="str">
        <x:v>Scenario only</x:v>
      </x:c>
      <x:c r="AA9" s="128" t="str">
        <x:v>Storage access policies, public-access settings, classification records and access logs.</x:v>
      </x:c>
      <x:c r="AB9" s="130" t="n">
        <x:v>46298</x:v>
      </x:c>
      <x:c r="AC9" s="128"/>
      <x:c r="AD9" s="138" t="str">
        <x:f>IF(COUNTA(A9:H9,K9:N9,Q9:AC9,AF9:AG9)=0,"",IF(A9="","Missing ID",IF(COUNTIF($A$5:$A$104,A9)&gt;1,"Duplicate ID",IF(OR(B9="",C9="",D9="",E9="",F9="",K9="",L9="",R9=""),"Missing assessment context",IF(OR(NOT(ISNUMBER(I9)),NOT(ISNUMBER(O9))),"Incomplete or invalid scores",IF(OR(S9="",NOT(OR(T9="Open",T9="Planned",T9="In Progress",T9="Closed",T9="Accepted"))),"Missing owner or invalid status",IF(NOT(ISNUMBER(U9)),"Missing or invalid target date",IF(U9&lt;=0,"Missing or invalid target date",IF(NOT(OR(Q9="Mitigate",Q9="Accept",Q9="Transfer",Q9="Avoid")),"Invalid treatment",IF(AND(T9="Accepted",Q9&lt;&gt;"Accept"),"Treatment/status conflict",IF(OR(M9&gt;G9,N9&gt;H9),"Review residual increase","OK")))))))))))</x:f>
        <x:v>OK</x:v>
      </x:c>
      <x:c r="AE9" s="138" t="str">
        <x:f>IF(A9="","",IF(OR(Y9="",NOT(OR(Z9="Scenario only",Z9="Evidence requested",Z9="Evidence reviewed")),AA9="",NOT(ISNUMBER(AB9)),AF9="",AG9=""),"Add assessment support",IF(OR(AB9&lt;=0,AB9&gt;Methodology!$B$25),"Review date outside period",IF(AND(OR(T9="Closed",T9="Accepted"),OR(AC9="",Z9&lt;&gt;"Evidence reviewed")),"Closure review needed",IF(OR(T9="Closed",T9="Accepted"),"Decision recorded",IF(Z9="Evidence reviewed","Evidence recorded","Scenario documented"))))))</x:f>
        <x:v>Scenario documented</x:v>
      </x:c>
      <x:c r="AF9" s="128" t="str">
        <x:v>GA-015, GA-022</x:v>
      </x:c>
      <x:c r="AG9" s="128" t="str">
        <x:v>Test that anonymous and unauthorized principals cannot read restricted objects; verify public-access prevention and approved exceptions.</x:v>
      </x:c>
    </x:row>
    <x:row r="10" ht="92" customHeight="1">
      <x:c r="A10" s="128" t="str">
        <x:v>R-006</x:v>
      </x:c>
      <x:c r="B10" s="128" t="str">
        <x:v>Endpoint Security</x:v>
      </x:c>
      <x:c r="C10" s="128" t="str">
        <x:v>Employee laptops</x:v>
      </x:c>
      <x:c r="D10" s="128" t="str">
        <x:v>Malware on an employee laptop could steal credentials or provide an attacker a foothold in the environment.</x:v>
      </x:c>
      <x:c r="E10" s="128" t="str">
        <x:v>Malware / ransomware</x:v>
      </x:c>
      <x:c r="F10" s="128" t="str">
        <x:v>EDR coverage and application control are incomplete</x:v>
      </x:c>
      <x:c r="G10" s="128" t="n">
        <x:v>4</x:v>
      </x:c>
      <x:c r="H10" s="128" t="n">
        <x:v>5</x:v>
      </x:c>
      <x:c r="I10" s="138" t="n">
        <x:f>IF(A10="","",IF(COUNT(G10,H10)&lt;&gt;2,"",IF(AND(G10&gt;=1,G10&lt;=5,H10&gt;=1,H10&lt;=5,MOD(G10,1)=0,MOD(H10,1)=0),G10*H10,"")))</x:f>
        <x:v>20</x:v>
      </x:c>
      <x:c r="J10" s="138" t="str">
        <x:f>IF(A10="","",IF(ISNUMBER(I10),IF(I10&gt;=16,"Critical",IF(I10&gt;=10,"High",IF(I10&gt;=5,"Medium","Low"))),"Not assessed"))</x:f>
        <x:v>Critical</x:v>
      </x:c>
      <x:c r="K10" s="128" t="str">
        <x:v>Antivirus; OS firewall; email filtering</x:v>
      </x:c>
      <x:c r="L10" s="128" t="str">
        <x:v>Partially Effective</x:v>
      </x:c>
      <x:c r="M10" s="128" t="n">
        <x:v>3</x:v>
      </x:c>
      <x:c r="N10" s="128" t="n">
        <x:v>5</x:v>
      </x:c>
      <x:c r="O10" s="138" t="n">
        <x:f>IF(A10="","",IF(COUNT(M10,N10)&lt;&gt;2,"",IF(AND(M10&gt;=1,M10&lt;=5,N10&gt;=1,N10&lt;=5,MOD(M10,1)=0,MOD(N10,1)=0),M10*N10,"")))</x:f>
        <x:v>15</x:v>
      </x:c>
      <x:c r="P10" s="138" t="str">
        <x:f>IF(A10="","",IF(ISNUMBER(O10),IF(O10&gt;=16,"Critical",IF(O10&gt;=10,"High",IF(O10&gt;=5,"Medium","Low"))),"Not assessed"))</x:f>
        <x:v>High</x:v>
      </x:c>
      <x:c r="Q10" s="128" t="str">
        <x:v>Mitigate</x:v>
      </x:c>
      <x:c r="R10" s="128" t="str">
        <x:v>Deploy EDR and a secure endpoint baseline; reduce local administrator access.</x:v>
      </x:c>
      <x:c r="S10" s="128" t="str">
        <x:v>Security Manager</x:v>
      </x:c>
      <x:c r="T10" s="128" t="str">
        <x:v>Planned</x:v>
      </x:c>
      <x:c r="U10" s="130" t="n">
        <x:v>46317</x:v>
      </x:c>
      <x:c r="V10" s="128" t="str">
        <x:v>Protect / Detect</x:v>
      </x:c>
      <x:c r="W10" s="128" t="str">
        <x:v>CIS 4, 10, 13</x:v>
      </x:c>
      <x:c r="X10" s="128" t="str">
        <x:v>Fictional scenario. Evidence listed at right has not been collected; completion test is proposed.</x:v>
      </x:c>
      <x:c r="Y10" s="128" t="str">
        <x:v>Malware is likely to reach a laptop without controls (4), potentially exposing credentials and customer systems (5). Filtering and antivirus lower likelihood to 3. They do not establish containment, so impact stays 5.</x:v>
      </x:c>
      <x:c r="Z10" s="128" t="str">
        <x:v>Scenario only</x:v>
      </x:c>
      <x:c r="AA10" s="128" t="str">
        <x:v>Endpoint inventory, antivirus/EDR coverage, sensor health, baseline settings and alert-handling tickets.</x:v>
      </x:c>
      <x:c r="AB10" s="130" t="n">
        <x:v>46298</x:v>
      </x:c>
      <x:c r="AC10" s="128"/>
      <x:c r="AD10" s="138" t="str">
        <x:f>IF(COUNTA(A10:H10,K10:N10,Q10:AC10,AF10:AG10)=0,"",IF(A10="","Missing ID",IF(COUNTIF($A$5:$A$104,A10)&gt;1,"Duplicate ID",IF(OR(B10="",C10="",D10="",E10="",F10="",K10="",L10="",R10=""),"Missing assessment context",IF(OR(NOT(ISNUMBER(I10)),NOT(ISNUMBER(O10))),"Incomplete or invalid scores",IF(OR(S10="",NOT(OR(T10="Open",T10="Planned",T10="In Progress",T10="Closed",T10="Accepted"))),"Missing owner or invalid status",IF(NOT(ISNUMBER(U10)),"Missing or invalid target date",IF(U10&lt;=0,"Missing or invalid target date",IF(NOT(OR(Q10="Mitigate",Q10="Accept",Q10="Transfer",Q10="Avoid")),"Invalid treatment",IF(AND(T10="Accepted",Q10&lt;&gt;"Accept"),"Treatment/status conflict",IF(OR(M10&gt;G10,N10&gt;H10),"Review residual increase","OK")))))))))))</x:f>
        <x:v>OK</x:v>
      </x:c>
      <x:c r="AE10" s="138" t="str">
        <x:f>IF(A10="","",IF(OR(Y10="",NOT(OR(Z10="Scenario only",Z10="Evidence requested",Z10="Evidence reviewed")),AA10="",NOT(ISNUMBER(AB10)),AF10="",AG10=""),"Add assessment support",IF(OR(AB10&lt;=0,AB10&gt;Methodology!$B$25),"Review date outside period",IF(AND(OR(T10="Closed",T10="Accepted"),OR(AC10="",Z10&lt;&gt;"Evidence reviewed")),"Closure review needed",IF(OR(T10="Closed",T10="Accepted"),"Decision recorded",IF(Z10="Evidence reviewed","Evidence recorded","Scenario documented"))))))</x:f>
        <x:v>Scenario documented</x:v>
      </x:c>
      <x:c r="AF10" s="128" t="str">
        <x:v>GA-016, GA-022, GA-028</x:v>
      </x:c>
      <x:c r="AG10" s="128" t="str">
        <x:v>Reconcile managed endpoints to healthy EDR sensors and use an authorized benign test to verify detection, escalation and isolation.</x:v>
      </x:c>
    </x:row>
    <x:row r="11" ht="92" customHeight="1">
      <x:c r="A11" s="128" t="str">
        <x:v>R-007</x:v>
      </x:c>
      <x:c r="B11" s="128" t="str">
        <x:v>Endpoint Security</x:v>
      </x:c>
      <x:c r="C11" s="128" t="str">
        <x:v>Employee laptops</x:v>
      </x:c>
      <x:c r="D11" s="128" t="str">
        <x:v>A lost laptop could expose company data if local information is not adequately protected.</x:v>
      </x:c>
      <x:c r="E11" s="128" t="str">
        <x:v>Device loss / theft</x:v>
      </x:c>
      <x:c r="F11" s="128" t="str">
        <x:v>Encryption compliance is not verified for every endpoint</x:v>
      </x:c>
      <x:c r="G11" s="128" t="n">
        <x:v>3</x:v>
      </x:c>
      <x:c r="H11" s="128" t="n">
        <x:v>4</x:v>
      </x:c>
      <x:c r="I11" s="138" t="n">
        <x:f>IF(A11="","",IF(COUNT(G11,H11)&lt;&gt;2,"",IF(AND(G11&gt;=1,G11&lt;=5,H11&gt;=1,H11&lt;=5,MOD(G11,1)=0,MOD(H11,1)=0),G11*H11,"")))</x:f>
        <x:v>12</x:v>
      </x:c>
      <x:c r="J11" s="138" t="str">
        <x:f>IF(A11="","",IF(ISNUMBER(I11),IF(I11&gt;=16,"Critical",IF(I11&gt;=10,"High",IF(I11&gt;=5,"Medium","Low"))),"Not assessed"))</x:f>
        <x:v>High</x:v>
      </x:c>
      <x:c r="K11" s="128" t="str">
        <x:v>Device login; remote management; partial encryption</x:v>
      </x:c>
      <x:c r="L11" s="128" t="str">
        <x:v>Partially Effective</x:v>
      </x:c>
      <x:c r="M11" s="128" t="n">
        <x:v>2</x:v>
      </x:c>
      <x:c r="N11" s="128" t="n">
        <x:v>4</x:v>
      </x:c>
      <x:c r="O11" s="138" t="n">
        <x:f>IF(A11="","",IF(COUNT(M11,N11)&lt;&gt;2,"",IF(AND(M11&gt;=1,M11&lt;=5,N11&gt;=1,N11&lt;=5,MOD(M11,1)=0,MOD(N11,1)=0),M11*N11,"")))</x:f>
        <x:v>8</x:v>
      </x:c>
      <x:c r="P11" s="138" t="str">
        <x:f>IF(A11="","",IF(ISNUMBER(O11),IF(O11&gt;=16,"Critical",IF(O11&gt;=10,"High",IF(O11&gt;=5,"Medium","Low"))),"Not assessed"))</x:f>
        <x:v>Medium</x:v>
      </x:c>
      <x:c r="Q11" s="128" t="str">
        <x:v>Mitigate</x:v>
      </x:c>
      <x:c r="R11" s="128" t="str">
        <x:v>Verify full-disk encryption and enable remote wipe on all managed laptops.</x:v>
      </x:c>
      <x:c r="S11" s="128" t="str">
        <x:v>IT Manager</x:v>
      </x:c>
      <x:c r="T11" s="128" t="str">
        <x:v>Planned</x:v>
      </x:c>
      <x:c r="U11" s="130" t="n">
        <x:v>46258</x:v>
      </x:c>
      <x:c r="V11" s="128" t="str">
        <x:v>Protect</x:v>
      </x:c>
      <x:c r="W11" s="128" t="str">
        <x:v>CIS 1, 3</x:v>
      </x:c>
      <x:c r="X11" s="128" t="str">
        <x:v>Fictional scenario. Evidence listed at right has not been collected; completion test is proposed.</x:v>
      </x:c>
      <x:c r="Y11" s="128" t="str">
        <x:v>Loss of a laptop is possible (3) and disclosure could be major (4). Login controls and management reduce exposure likelihood to 2. Encryption is only partial, so neither a lower impact nor completed treatment is supported.</x:v>
      </x:c>
      <x:c r="Z11" s="128" t="str">
        <x:v>Scenario only</x:v>
      </x:c>
      <x:c r="AA11" s="128" t="str">
        <x:v>Laptop inventory, encryption compliance, recovery-key access and lost-device procedure.</x:v>
      </x:c>
      <x:c r="AB11" s="130" t="n">
        <x:v>46298</x:v>
      </x:c>
      <x:c r="AC11" s="128"/>
      <x:c r="AD11" s="138" t="str">
        <x:f>IF(COUNTA(A11:H11,K11:N11,Q11:AC11,AF11:AG11)=0,"",IF(A11="","Missing ID",IF(COUNTIF($A$5:$A$104,A11)&gt;1,"Duplicate ID",IF(OR(B11="",C11="",D11="",E11="",F11="",K11="",L11="",R11=""),"Missing assessment context",IF(OR(NOT(ISNUMBER(I11)),NOT(ISNUMBER(O11))),"Incomplete or invalid scores",IF(OR(S11="",NOT(OR(T11="Open",T11="Planned",T11="In Progress",T11="Closed",T11="Accepted"))),"Missing owner or invalid status",IF(NOT(ISNUMBER(U11)),"Missing or invalid target date",IF(U11&lt;=0,"Missing or invalid target date",IF(NOT(OR(Q11="Mitigate",Q11="Accept",Q11="Transfer",Q11="Avoid")),"Invalid treatment",IF(AND(T11="Accepted",Q11&lt;&gt;"Accept"),"Treatment/status conflict",IF(OR(M11&gt;G11,N11&gt;H11),"Review residual increase","OK")))))))))))</x:f>
        <x:v>OK</x:v>
      </x:c>
      <x:c r="AE11" s="138" t="str">
        <x:f>IF(A11="","",IF(OR(Y11="",NOT(OR(Z11="Scenario only",Z11="Evidence requested",Z11="Evidence reviewed")),AA11="",NOT(ISNUMBER(AB11)),AF11="",AG11=""),"Add assessment support",IF(OR(AB11&lt;=0,AB11&gt;Methodology!$B$25),"Review date outside period",IF(AND(OR(T11="Closed",T11="Accepted"),OR(AC11="",Z11&lt;&gt;"Evidence reviewed")),"Closure review needed",IF(OR(T11="Closed",T11="Accepted"),"Decision recorded",IF(Z11="Evidence reviewed","Evidence recorded","Scenario documented"))))))</x:f>
        <x:v>Scenario documented</x:v>
      </x:c>
      <x:c r="AF11" s="128" t="str">
        <x:v>GA-015, GA-016, GA-028</x:v>
      </x:c>
      <x:c r="AG11" s="128" t="str">
        <x:v>Verify encryption on all in-scope laptops, restrict recovery keys and rehearse lost-device response; record and resolve exceptions.</x:v>
      </x:c>
    </x:row>
    <x:row r="12" ht="92" customHeight="1">
      <x:c r="A12" s="128" t="str">
        <x:v>R-008</x:v>
      </x:c>
      <x:c r="B12" s="128" t="str">
        <x:v>Vulnerability Management</x:v>
      </x:c>
      <x:c r="C12" s="128" t="str">
        <x:v>Production servers</x:v>
      </x:c>
      <x:c r="D12" s="128" t="str">
        <x:v>Known vulnerabilities could remain exploitable longer than the business can tolerate.</x:v>
      </x:c>
      <x:c r="E12" s="128" t="str">
        <x:v>Known-vulnerability exploitation</x:v>
      </x:c>
      <x:c r="F12" s="128" t="str">
        <x:v>No formal severity-based remediation SLA</x:v>
      </x:c>
      <x:c r="G12" s="128" t="n">
        <x:v>4</x:v>
      </x:c>
      <x:c r="H12" s="128" t="n">
        <x:v>5</x:v>
      </x:c>
      <x:c r="I12" s="138" t="n">
        <x:f>IF(A12="","",IF(COUNT(G12,H12)&lt;&gt;2,"",IF(AND(G12&gt;=1,G12&lt;=5,H12&gt;=1,H12&lt;=5,MOD(G12,1)=0,MOD(H12,1)=0),G12*H12,"")))</x:f>
        <x:v>20</x:v>
      </x:c>
      <x:c r="J12" s="138" t="str">
        <x:f>IF(A12="","",IF(ISNUMBER(I12),IF(I12&gt;=16,"Critical",IF(I12&gt;=10,"High",IF(I12&gt;=5,"Medium","Low"))),"Not assessed"))</x:f>
        <x:v>Critical</x:v>
      </x:c>
      <x:c r="K12" s="128" t="str">
        <x:v>Monthly patch cycle; ad hoc scans</x:v>
      </x:c>
      <x:c r="L12" s="128" t="str">
        <x:v>Partially Effective</x:v>
      </x:c>
      <x:c r="M12" s="128" t="n">
        <x:v>3</x:v>
      </x:c>
      <x:c r="N12" s="128" t="n">
        <x:v>5</x:v>
      </x:c>
      <x:c r="O12" s="138" t="n">
        <x:f>IF(A12="","",IF(COUNT(M12,N12)&lt;&gt;2,"",IF(AND(M12&gt;=1,M12&lt;=5,N12&gt;=1,N12&lt;=5,MOD(M12,1)=0,MOD(N12,1)=0),M12*N12,"")))</x:f>
        <x:v>15</x:v>
      </x:c>
      <x:c r="P12" s="138" t="str">
        <x:f>IF(A12="","",IF(ISNUMBER(O12),IF(O12&gt;=16,"Critical",IF(O12&gt;=10,"High",IF(O12&gt;=5,"Medium","Low"))),"Not assessed"))</x:f>
        <x:v>High</x:v>
      </x:c>
      <x:c r="Q12" s="128" t="str">
        <x:v>Mitigate</x:v>
      </x:c>
      <x:c r="R12" s="128" t="str">
        <x:v>Establish recurring scanning and remediation SLAs based on severity and exposure.</x:v>
      </x:c>
      <x:c r="S12" s="128" t="str">
        <x:v>Security Manager</x:v>
      </x:c>
      <x:c r="T12" s="128" t="str">
        <x:v>In Progress</x:v>
      </x:c>
      <x:c r="U12" s="130" t="n">
        <x:v>46302</x:v>
      </x:c>
      <x:c r="V12" s="128" t="str">
        <x:v>Identify / Protect</x:v>
      </x:c>
      <x:c r="W12" s="128" t="str">
        <x:v>CIS 7</x:v>
      </x:c>
      <x:c r="X12" s="128" t="str">
        <x:v>Fictional scenario. Evidence listed at right has not been collected; completion test is proposed.</x:v>
      </x:c>
      <x:c r="Y12" s="128" t="str">
        <x:v>Unpatched vulnerabilities make exploitation likely (4) and could compromise production (5). Monthly patching lowers likelihood to 3, but an exposed critical flaw may remain exploitable between cycles. Impact stays 5.</x:v>
      </x:c>
      <x:c r="Z12" s="128" t="str">
        <x:v>Scenario only</x:v>
      </x:c>
      <x:c r="AA12" s="128" t="str">
        <x:v>Authenticated scan results, asset exposure, remediation tickets, SLAs and approved exceptions.</x:v>
      </x:c>
      <x:c r="AB12" s="130" t="n">
        <x:v>46298</x:v>
      </x:c>
      <x:c r="AC12" s="128"/>
      <x:c r="AD12" s="138" t="str">
        <x:f>IF(COUNTA(A12:H12,K12:N12,Q12:AC12,AF12:AG12)=0,"",IF(A12="","Missing ID",IF(COUNTIF($A$5:$A$104,A12)&gt;1,"Duplicate ID",IF(OR(B12="",C12="",D12="",E12="",F12="",K12="",L12="",R12=""),"Missing assessment context",IF(OR(NOT(ISNUMBER(I12)),NOT(ISNUMBER(O12))),"Incomplete or invalid scores",IF(OR(S12="",NOT(OR(T12="Open",T12="Planned",T12="In Progress",T12="Closed",T12="Accepted"))),"Missing owner or invalid status",IF(NOT(ISNUMBER(U12)),"Missing or invalid target date",IF(U12&lt;=0,"Missing or invalid target date",IF(NOT(OR(Q12="Mitigate",Q12="Accept",Q12="Transfer",Q12="Avoid")),"Invalid treatment",IF(AND(T12="Accepted",Q12&lt;&gt;"Accept"),"Treatment/status conflict",IF(OR(M12&gt;G12,N12&gt;H12),"Review residual increase","OK")))))))))))</x:f>
        <x:v>OK</x:v>
      </x:c>
      <x:c r="AE12" s="138" t="str">
        <x:f>IF(A12="","",IF(OR(Y12="",NOT(OR(Z12="Scenario only",Z12="Evidence requested",Z12="Evidence reviewed")),AA12="",NOT(ISNUMBER(AB12)),AF12="",AG12=""),"Add assessment support",IF(OR(AB12&lt;=0,AB12&gt;Methodology!$B$25),"Review date outside period",IF(AND(OR(T12="Closed",T12="Accepted"),OR(AC12="",Z12&lt;&gt;"Evidence reviewed")),"Closure review needed",IF(OR(T12="Closed",T12="Accepted"),"Decision recorded",IF(Z12="Evidence reviewed","Evidence recorded","Scenario documented"))))))</x:f>
        <x:v>Scenario documented</x:v>
      </x:c>
      <x:c r="AF12" s="128" t="str">
        <x:v>GA-010, GA-017</x:v>
      </x:c>
      <x:c r="AG12" s="128" t="str">
        <x:v>Rescan affected assets after remediation; confirm high-risk items meet approved deadlines or have time-limited exceptions.</x:v>
      </x:c>
    </x:row>
    <x:row r="13" ht="92" customHeight="1">
      <x:c r="A13" s="128" t="str">
        <x:v>R-009</x:v>
      </x:c>
      <x:c r="B13" s="128" t="str">
        <x:v>Application Security</x:v>
      </x:c>
      <x:c r="C13" s="128" t="str">
        <x:v>Source code / dependencies</x:v>
      </x:c>
      <x:c r="D13" s="128" t="str">
        <x:v>A vulnerable third-party dependency could introduce an exploitable weakness into the SaaS application.</x:v>
      </x:c>
      <x:c r="E13" s="128" t="str">
        <x:v>Software supply-chain vulnerability</x:v>
      </x:c>
      <x:c r="F13" s="128" t="str">
        <x:v>Dependencies are not continuously evaluated</x:v>
      </x:c>
      <x:c r="G13" s="128" t="n">
        <x:v>4</x:v>
      </x:c>
      <x:c r="H13" s="128" t="n">
        <x:v>4</x:v>
      </x:c>
      <x:c r="I13" s="138" t="n">
        <x:f>IF(A13="","",IF(COUNT(G13,H13)&lt;&gt;2,"",IF(AND(G13&gt;=1,G13&lt;=5,H13&gt;=1,H13&lt;=5,MOD(G13,1)=0,MOD(H13,1)=0),G13*H13,"")))</x:f>
        <x:v>16</x:v>
      </x:c>
      <x:c r="J13" s="138" t="str">
        <x:f>IF(A13="","",IF(ISNUMBER(I13),IF(I13&gt;=16,"Critical",IF(I13&gt;=10,"High",IF(I13&gt;=5,"Medium","Low"))),"Not assessed"))</x:f>
        <x:v>Critical</x:v>
      </x:c>
      <x:c r="K13" s="128" t="str">
        <x:v>Code review; package alerts</x:v>
      </x:c>
      <x:c r="L13" s="128" t="str">
        <x:v>Partially Effective</x:v>
      </x:c>
      <x:c r="M13" s="128" t="n">
        <x:v>3</x:v>
      </x:c>
      <x:c r="N13" s="128" t="n">
        <x:v>4</x:v>
      </x:c>
      <x:c r="O13" s="138" t="n">
        <x:f>IF(A13="","",IF(COUNT(M13,N13)&lt;&gt;2,"",IF(AND(M13&gt;=1,M13&lt;=5,N13&gt;=1,N13&lt;=5,MOD(M13,1)=0,MOD(N13,1)=0),M13*N13,"")))</x:f>
        <x:v>12</x:v>
      </x:c>
      <x:c r="P13" s="138" t="str">
        <x:f>IF(A13="","",IF(ISNUMBER(O13),IF(O13&gt;=16,"Critical",IF(O13&gt;=10,"High",IF(O13&gt;=5,"Medium","Low"))),"Not assessed"))</x:f>
        <x:v>High</x:v>
      </x:c>
      <x:c r="Q13" s="128" t="str">
        <x:v>Mitigate</x:v>
      </x:c>
      <x:c r="R13" s="128" t="str">
        <x:v>Use software composition analysis and define dependency-update requirements.</x:v>
      </x:c>
      <x:c r="S13" s="128" t="str">
        <x:v>Application Owner</x:v>
      </x:c>
      <x:c r="T13" s="128" t="str">
        <x:v>Planned</x:v>
      </x:c>
      <x:c r="U13" s="130" t="n">
        <x:v>46332</x:v>
      </x:c>
      <x:c r="V13" s="128" t="str">
        <x:v>Identify / Protect</x:v>
      </x:c>
      <x:c r="W13" s="128" t="str">
        <x:v>CIS 16</x:v>
      </x:c>
      <x:c r="X13" s="128" t="str">
        <x:v>Fictional scenario. Evidence listed at right has not been collected; completion test is proposed.</x:v>
      </x:c>
      <x:c r="Y13" s="128" t="str">
        <x:v>Unreviewed dependencies make a vulnerable package likely (4), with major application impact (4). Package alerts and code review reduce likelihood to 3, but do not prove vulnerable builds are blocked.</x:v>
      </x:c>
      <x:c r="Z13" s="128" t="str">
        <x:v>Scenario only</x:v>
      </x:c>
      <x:c r="AA13" s="128" t="str">
        <x:v>Dependency inventory, software-composition scans, CI rules and remediation tickets.</x:v>
      </x:c>
      <x:c r="AB13" s="130" t="n">
        <x:v>46298</x:v>
      </x:c>
      <x:c r="AC13" s="128"/>
      <x:c r="AD13" s="138" t="str">
        <x:f>IF(COUNTA(A13:H13,K13:N13,Q13:AC13,AF13:AG13)=0,"",IF(A13="","Missing ID",IF(COUNTIF($A$5:$A$104,A13)&gt;1,"Duplicate ID",IF(OR(B13="",C13="",D13="",E13="",F13="",K13="",L13="",R13=""),"Missing assessment context",IF(OR(NOT(ISNUMBER(I13)),NOT(ISNUMBER(O13))),"Incomplete or invalid scores",IF(OR(S13="",NOT(OR(T13="Open",T13="Planned",T13="In Progress",T13="Closed",T13="Accepted"))),"Missing owner or invalid status",IF(NOT(ISNUMBER(U13)),"Missing or invalid target date",IF(U13&lt;=0,"Missing or invalid target date",IF(NOT(OR(Q13="Mitigate",Q13="Accept",Q13="Transfer",Q13="Avoid")),"Invalid treatment",IF(AND(T13="Accepted",Q13&lt;&gt;"Accept"),"Treatment/status conflict",IF(OR(M13&gt;G13,N13&gt;H13),"Review residual increase","OK")))))))))))</x:f>
        <x:v>OK</x:v>
      </x:c>
      <x:c r="AE13" s="138" t="str">
        <x:f>IF(A13="","",IF(OR(Y13="",NOT(OR(Z13="Scenario only",Z13="Evidence requested",Z13="Evidence reviewed")),AA13="",NOT(ISNUMBER(AB13)),AF13="",AG13=""),"Add assessment support",IF(OR(AB13&lt;=0,AB13&gt;Methodology!$B$25),"Review date outside period",IF(AND(OR(T13="Closed",T13="Accepted"),OR(AC13="",Z13&lt;&gt;"Evidence reviewed")),"Closure review needed",IF(OR(T13="Closed",T13="Accepted"),"Decision recorded",IF(Z13="Evidence reviewed","Evidence recorded","Scenario documented"))))))</x:f>
        <x:v>Scenario documented</x:v>
      </x:c>
      <x:c r="AF13" s="128" t="str">
        <x:v>GA-018</x:v>
      </x:c>
      <x:c r="AG13" s="128" t="str">
        <x:v>Introduce an approved test dependency finding in a nonproduction pipeline; verify policy enforcement and rescan the fixed build.</x:v>
      </x:c>
    </x:row>
    <x:row r="14" ht="92" customHeight="1">
      <x:c r="A14" s="128" t="str">
        <x:v>R-010</x:v>
      </x:c>
      <x:c r="B14" s="128" t="str">
        <x:v>Data Protection</x:v>
      </x:c>
      <x:c r="C14" s="128" t="str">
        <x:v>Production database</x:v>
      </x:c>
      <x:c r="D14" s="128" t="str">
        <x:v>An internal user with excessive database access could view or modify restricted customer information.</x:v>
      </x:c>
      <x:c r="E14" s="128" t="str">
        <x:v>Unauthorized internal access</x:v>
      </x:c>
      <x:c r="F14" s="128" t="str">
        <x:v>Database roles exceed least-privilege needs</x:v>
      </x:c>
      <x:c r="G14" s="128" t="n">
        <x:v>3</x:v>
      </x:c>
      <x:c r="H14" s="128" t="n">
        <x:v>5</x:v>
      </x:c>
      <x:c r="I14" s="138" t="n">
        <x:f>IF(A14="","",IF(COUNT(G14,H14)&lt;&gt;2,"",IF(AND(G14&gt;=1,G14&lt;=5,H14&gt;=1,H14&lt;=5,MOD(G14,1)=0,MOD(H14,1)=0),G14*H14,"")))</x:f>
        <x:v>15</x:v>
      </x:c>
      <x:c r="J14" s="138" t="str">
        <x:f>IF(A14="","",IF(ISNUMBER(I14),IF(I14&gt;=16,"Critical",IF(I14&gt;=10,"High",IF(I14&gt;=5,"Medium","Low"))),"Not assessed"))</x:f>
        <x:v>High</x:v>
      </x:c>
      <x:c r="K14" s="128" t="str">
        <x:v>Authentication; database audit logs</x:v>
      </x:c>
      <x:c r="L14" s="128" t="str">
        <x:v>Partially Effective</x:v>
      </x:c>
      <x:c r="M14" s="128" t="n">
        <x:v>3</x:v>
      </x:c>
      <x:c r="N14" s="128" t="n">
        <x:v>5</x:v>
      </x:c>
      <x:c r="O14" s="138" t="n">
        <x:f>IF(A14="","",IF(COUNT(M14,N14)&lt;&gt;2,"",IF(AND(M14&gt;=1,M14&lt;=5,N14&gt;=1,N14&lt;=5,MOD(M14,1)=0,MOD(N14,1)=0),M14*N14,"")))</x:f>
        <x:v>15</x:v>
      </x:c>
      <x:c r="P14" s="138" t="str">
        <x:f>IF(A14="","",IF(ISNUMBER(O14),IF(O14&gt;=16,"Critical",IF(O14&gt;=10,"High",IF(O14&gt;=5,"Medium","Low"))),"Not assessed"))</x:f>
        <x:v>High</x:v>
      </x:c>
      <x:c r="Q14" s="128" t="str">
        <x:v>Mitigate</x:v>
      </x:c>
      <x:c r="R14" s="128" t="str">
        <x:v>Create least-privilege roles and conduct quarterly database access reviews.</x:v>
      </x:c>
      <x:c r="S14" s="128" t="str">
        <x:v>Data Owner</x:v>
      </x:c>
      <x:c r="T14" s="128" t="str">
        <x:v>In Progress</x:v>
      </x:c>
      <x:c r="U14" s="130" t="n">
        <x:v>46317</x:v>
      </x:c>
      <x:c r="V14" s="128" t="str">
        <x:v>Protect / Detect</x:v>
      </x:c>
      <x:c r="W14" s="128" t="str">
        <x:v>CIS 3, 6, 8</x:v>
      </x:c>
      <x:c r="X14" s="128" t="str">
        <x:v>Fictional scenario. Evidence listed at right has not been collected; completion test is proposed.</x:v>
      </x:c>
      <x:c r="Y14" s="128" t="str">
        <x:v>Excess database access makes misuse possible (3), with severe customer-data impact (5). Authentication identifies users and logs help investigation, but neither removes excessive rights. No score reduction is justified.</x:v>
      </x:c>
      <x:c r="Z14" s="128" t="str">
        <x:v>Scenario only</x:v>
      </x:c>
      <x:c r="AA14" s="128" t="str">
        <x:v>Database grants, service accounts, privileged-user list, query audit records and owner approvals.</x:v>
      </x:c>
      <x:c r="AB14" s="130" t="n">
        <x:v>46298</x:v>
      </x:c>
      <x:c r="AC14" s="128"/>
      <x:c r="AD14" s="138" t="str">
        <x:f>IF(COUNTA(A14:H14,K14:N14,Q14:AC14,AF14:AG14)=0,"",IF(A14="","Missing ID",IF(COUNTIF($A$5:$A$104,A14)&gt;1,"Duplicate ID",IF(OR(B14="",C14="",D14="",E14="",F14="",K14="",L14="",R14=""),"Missing assessment context",IF(OR(NOT(ISNUMBER(I14)),NOT(ISNUMBER(O14))),"Incomplete or invalid scores",IF(OR(S14="",NOT(OR(T14="Open",T14="Planned",T14="In Progress",T14="Closed",T14="Accepted"))),"Missing owner or invalid status",IF(NOT(ISNUMBER(U14)),"Missing or invalid target date",IF(U14&lt;=0,"Missing or invalid target date",IF(NOT(OR(Q14="Mitigate",Q14="Accept",Q14="Transfer",Q14="Avoid")),"Invalid treatment",IF(AND(T14="Accepted",Q14&lt;&gt;"Accept"),"Treatment/status conflict",IF(OR(M14&gt;G14,N14&gt;H14),"Review residual increase","OK")))))))))))</x:f>
        <x:v>OK</x:v>
      </x:c>
      <x:c r="AE14" s="138" t="str">
        <x:f>IF(A14="","",IF(OR(Y14="",NOT(OR(Z14="Scenario only",Z14="Evidence requested",Z14="Evidence reviewed")),AA14="",NOT(ISNUMBER(AB14)),AF14="",AG14=""),"Add assessment support",IF(OR(AB14&lt;=0,AB14&gt;Methodology!$B$25),"Review date outside period",IF(AND(OR(T14="Closed",T14="Accepted"),OR(AC14="",Z14&lt;&gt;"Evidence reviewed")),"Closure review needed",IF(OR(T14="Closed",T14="Accepted"),"Decision recorded",IF(Z14="Evidence reviewed","Evidence recorded","Scenario documented"))))))</x:f>
        <x:v>Scenario documented</x:v>
      </x:c>
      <x:c r="AF14" s="128" t="str">
        <x:v>GA-013, GA-015, GA-021</x:v>
      </x:c>
      <x:c r="AG14" s="128" t="str">
        <x:v>Review sensitive grants with the data owner; remove excess privileges and verify denied access for unauthorized roles.</x:v>
      </x:c>
    </x:row>
    <x:row r="15" ht="92" customHeight="1">
      <x:c r="A15" s="128" t="str">
        <x:v>R-011</x:v>
      </x:c>
      <x:c r="B15" s="128" t="str">
        <x:v>Data Protection</x:v>
      </x:c>
      <x:c r="C15" s="128" t="str">
        <x:v>Microsoft 365</x:v>
      </x:c>
      <x:c r="D15" s="128" t="str">
        <x:v>Employees could unintentionally share confidential files outside the company.</x:v>
      </x:c>
      <x:c r="E15" s="128" t="str">
        <x:v>Accidental disclosure</x:v>
      </x:c>
      <x:c r="F15" s="128" t="str">
        <x:v>External-sharing settings and data handling rules are permissive</x:v>
      </x:c>
      <x:c r="G15" s="128" t="n">
        <x:v>4</x:v>
      </x:c>
      <x:c r="H15" s="128" t="n">
        <x:v>4</x:v>
      </x:c>
      <x:c r="I15" s="138" t="n">
        <x:f>IF(A15="","",IF(COUNT(G15,H15)&lt;&gt;2,"",IF(AND(G15&gt;=1,G15&lt;=5,H15&gt;=1,H15&lt;=5,MOD(G15,1)=0,MOD(H15,1)=0),G15*H15,"")))</x:f>
        <x:v>16</x:v>
      </x:c>
      <x:c r="J15" s="138" t="str">
        <x:f>IF(A15="","",IF(ISNUMBER(I15),IF(I15&gt;=16,"Critical",IF(I15&gt;=10,"High",IF(I15&gt;=5,"Medium","Low"))),"Not assessed"))</x:f>
        <x:v>Critical</x:v>
      </x:c>
      <x:c r="K15" s="128" t="str">
        <x:v>Default sharing controls; awareness training</x:v>
      </x:c>
      <x:c r="L15" s="128" t="str">
        <x:v>Partially Effective</x:v>
      </x:c>
      <x:c r="M15" s="128" t="n">
        <x:v>3</x:v>
      </x:c>
      <x:c r="N15" s="128" t="n">
        <x:v>4</x:v>
      </x:c>
      <x:c r="O15" s="138" t="n">
        <x:f>IF(A15="","",IF(COUNT(M15,N15)&lt;&gt;2,"",IF(AND(M15&gt;=1,M15&lt;=5,N15&gt;=1,N15&lt;=5,MOD(M15,1)=0,MOD(N15,1)=0),M15*N15,"")))</x:f>
        <x:v>12</x:v>
      </x:c>
      <x:c r="P15" s="138" t="str">
        <x:f>IF(A15="","",IF(ISNUMBER(O15),IF(O15&gt;=16,"Critical",IF(O15&gt;=10,"High",IF(O15&gt;=5,"Medium","Low"))),"Not assessed"))</x:f>
        <x:v>High</x:v>
      </x:c>
      <x:c r="Q15" s="128" t="str">
        <x:v>Mitigate</x:v>
      </x:c>
      <x:c r="R15" s="128" t="str">
        <x:v>Restrict anonymous links and implement sensitivity labels or DLP for sensitive data.</x:v>
      </x:c>
      <x:c r="S15" s="128" t="str">
        <x:v>Data Owner</x:v>
      </x:c>
      <x:c r="T15" s="128" t="str">
        <x:v>Planned</x:v>
      </x:c>
      <x:c r="U15" s="130" t="n">
        <x:v>46317</x:v>
      </x:c>
      <x:c r="V15" s="128" t="str">
        <x:v>Protect</x:v>
      </x:c>
      <x:c r="W15" s="128" t="str">
        <x:v>CIS 3, 14</x:v>
      </x:c>
      <x:c r="X15" s="128" t="str">
        <x:v>Fictional scenario. Evidence listed at right has not been collected; completion test is proposed.</x:v>
      </x:c>
      <x:c r="Y15" s="128" t="str">
        <x:v>Permissive sharing makes disclosure likely (4) and major (4). Default sharing controls and training reduce likelihood to 3. Without tested classification or DLP restrictions, impact remains 4.</x:v>
      </x:c>
      <x:c r="Z15" s="128" t="str">
        <x:v>Scenario only</x:v>
      </x:c>
      <x:c r="AA15" s="128" t="str">
        <x:v>External/anonymous link report, sharing configuration, sensitive-data locations and label/DLP settings.</x:v>
      </x:c>
      <x:c r="AB15" s="130" t="n">
        <x:v>46298</x:v>
      </x:c>
      <x:c r="AC15" s="128"/>
      <x:c r="AD15" s="138" t="str">
        <x:f>IF(COUNTA(A15:H15,K15:N15,Q15:AC15,AF15:AG15)=0,"",IF(A15="","Missing ID",IF(COUNTIF($A$5:$A$104,A15)&gt;1,"Duplicate ID",IF(OR(B15="",C15="",D15="",E15="",F15="",K15="",L15="",R15=""),"Missing assessment context",IF(OR(NOT(ISNUMBER(I15)),NOT(ISNUMBER(O15))),"Incomplete or invalid scores",IF(OR(S15="",NOT(OR(T15="Open",T15="Planned",T15="In Progress",T15="Closed",T15="Accepted"))),"Missing owner or invalid status",IF(NOT(ISNUMBER(U15)),"Missing or invalid target date",IF(U15&lt;=0,"Missing or invalid target date",IF(NOT(OR(Q15="Mitigate",Q15="Accept",Q15="Transfer",Q15="Avoid")),"Invalid treatment",IF(AND(T15="Accepted",Q15&lt;&gt;"Accept"),"Treatment/status conflict",IF(OR(M15&gt;G15,N15&gt;H15),"Review residual increase","OK")))))))))))</x:f>
        <x:v>OK</x:v>
      </x:c>
      <x:c r="AE15" s="138" t="str">
        <x:f>IF(A15="","",IF(OR(Y15="",NOT(OR(Z15="Scenario only",Z15="Evidence requested",Z15="Evidence reviewed")),AA15="",NOT(ISNUMBER(AB15)),AF15="",AG15=""),"Add assessment support",IF(OR(AB15&lt;=0,AB15&gt;Methodology!$B$25),"Review date outside period",IF(AND(OR(T15="Closed",T15="Accepted"),OR(AC15="",Z15&lt;&gt;"Evidence reviewed")),"Closure review needed",IF(OR(T15="Closed",T15="Accepted"),"Decision recorded",IF(Z15="Evidence reviewed","Evidence recorded","Scenario documented"))))))</x:f>
        <x:v>Scenario documented</x:v>
      </x:c>
      <x:c r="AF15" s="128" t="str">
        <x:v>GA-015</x:v>
      </x:c>
      <x:c r="AG15" s="128" t="str">
        <x:v>Block an unauthorized external share of synthetic sensitive data; test approved business sharing and record exceptions.</x:v>
      </x:c>
    </x:row>
    <x:row r="16" ht="92" customHeight="1">
      <x:c r="A16" s="128" t="str">
        <x:v>R-012</x:v>
      </x:c>
      <x:c r="B16" s="128" t="str">
        <x:v>Third-Party Risk</x:v>
      </x:c>
      <x:c r="C16" s="128" t="str">
        <x:v>Critical vendors</x:v>
      </x:c>
      <x:c r="D16" s="128" t="str">
        <x:v>A security incident at a key vendor could expose company data or interrupt a critical service.</x:v>
      </x:c>
      <x:c r="E16" s="128" t="str">
        <x:v>Vendor breach / outage</x:v>
      </x:c>
      <x:c r="F16" s="128" t="str">
        <x:v>Vendor security due diligence is inconsistent</x:v>
      </x:c>
      <x:c r="G16" s="128" t="n">
        <x:v>4</x:v>
      </x:c>
      <x:c r="H16" s="128" t="n">
        <x:v>5</x:v>
      </x:c>
      <x:c r="I16" s="138" t="n">
        <x:f>IF(A16="","",IF(COUNT(G16,H16)&lt;&gt;2,"",IF(AND(G16&gt;=1,G16&lt;=5,H16&gt;=1,H16&lt;=5,MOD(G16,1)=0,MOD(H16,1)=0),G16*H16,"")))</x:f>
        <x:v>20</x:v>
      </x:c>
      <x:c r="J16" s="138" t="str">
        <x:f>IF(A16="","",IF(ISNUMBER(I16),IF(I16&gt;=16,"Critical",IF(I16&gt;=10,"High",IF(I16&gt;=5,"Medium","Low"))),"Not assessed"))</x:f>
        <x:v>Critical</x:v>
      </x:c>
      <x:c r="K16" s="128" t="str">
        <x:v>Contracts; procurement review</x:v>
      </x:c>
      <x:c r="L16" s="128" t="str">
        <x:v>Ineffective</x:v>
      </x:c>
      <x:c r="M16" s="128" t="n">
        <x:v>4</x:v>
      </x:c>
      <x:c r="N16" s="128" t="n">
        <x:v>5</x:v>
      </x:c>
      <x:c r="O16" s="138" t="n">
        <x:f>IF(A16="","",IF(COUNT(M16,N16)&lt;&gt;2,"",IF(AND(M16&gt;=1,M16&lt;=5,N16&gt;=1,N16&lt;=5,MOD(M16,1)=0,MOD(N16,1)=0),M16*N16,"")))</x:f>
        <x:v>20</x:v>
      </x:c>
      <x:c r="P16" s="138" t="str">
        <x:f>IF(A16="","",IF(ISNUMBER(O16),IF(O16&gt;=16,"Critical",IF(O16&gt;=10,"High",IF(O16&gt;=5,"Medium","Low"))),"Not assessed"))</x:f>
        <x:v>Critical</x:v>
      </x:c>
      <x:c r="Q16" s="128" t="str">
        <x:v>Mitigate</x:v>
      </x:c>
      <x:c r="R16" s="128" t="str">
        <x:v>Tier vendors, perform security reviews, and add security/notification clauses to contracts.</x:v>
      </x:c>
      <x:c r="S16" s="128" t="str">
        <x:v>Vendor Manager</x:v>
      </x:c>
      <x:c r="T16" s="128" t="str">
        <x:v>Open</x:v>
      </x:c>
      <x:c r="U16" s="130" t="n">
        <x:v>46302</x:v>
      </x:c>
      <x:c r="V16" s="128" t="str">
        <x:v>Govern / Identify</x:v>
      </x:c>
      <x:c r="W16" s="128" t="str">
        <x:v>CIS 15</x:v>
      </x:c>
      <x:c r="X16" s="128" t="str">
        <x:v>Fictional scenario. Evidence listed at right has not been collected; completion test is proposed.</x:v>
      </x:c>
      <x:c r="Y16" s="128" t="str">
        <x:v>Critical suppliers can expose data or interrupt service, giving likelihood 4 and impact 5 in this scenario. General contracts and procurement checks do not demonstrate cyber due diligence or resilience. Residual scores remain unchanged.</x:v>
      </x:c>
      <x:c r="Z16" s="128" t="str">
        <x:v>Scenario only</x:v>
      </x:c>
      <x:c r="AA16" s="128" t="str">
        <x:v>Critical-vendor inventory, service dependencies, security assessments, contractual notification terms and continuity evidence.</x:v>
      </x:c>
      <x:c r="AB16" s="130" t="n">
        <x:v>46298</x:v>
      </x:c>
      <x:c r="AC16" s="128"/>
      <x:c r="AD16" s="138" t="str">
        <x:f>IF(COUNTA(A16:H16,K16:N16,Q16:AC16,AF16:AG16)=0,"",IF(A16="","Missing ID",IF(COUNTIF($A$5:$A$104,A16)&gt;1,"Duplicate ID",IF(OR(B16="",C16="",D16="",E16="",F16="",K16="",L16="",R16=""),"Missing assessment context",IF(OR(NOT(ISNUMBER(I16)),NOT(ISNUMBER(O16))),"Incomplete or invalid scores",IF(OR(S16="",NOT(OR(T16="Open",T16="Planned",T16="In Progress",T16="Closed",T16="Accepted"))),"Missing owner or invalid status",IF(NOT(ISNUMBER(U16)),"Missing or invalid target date",IF(U16&lt;=0,"Missing or invalid target date",IF(NOT(OR(Q16="Mitigate",Q16="Accept",Q16="Transfer",Q16="Avoid")),"Invalid treatment",IF(AND(T16="Accepted",Q16&lt;&gt;"Accept"),"Treatment/status conflict",IF(OR(M16&gt;G16,N16&gt;H16),"Review residual increase","OK")))))))))))</x:f>
        <x:v>OK</x:v>
      </x:c>
      <x:c r="AE16" s="138" t="str">
        <x:f>IF(A16="","",IF(OR(Y16="",NOT(OR(Z16="Scenario only",Z16="Evidence requested",Z16="Evidence reviewed")),AA16="",NOT(ISNUMBER(AB16)),AF16="",AG16=""),"Add assessment support",IF(OR(AB16&lt;=0,AB16&gt;Methodology!$B$25),"Review date outside period",IF(AND(OR(T16="Closed",T16="Accepted"),OR(AC16="",Z16&lt;&gt;"Evidence reviewed")),"Closure review needed",IF(OR(T16="Closed",T16="Accepted"),"Decision recorded",IF(Z16="Evidence reviewed","Evidence recorded","Scenario documented"))))))</x:f>
        <x:v>Scenario documented</x:v>
      </x:c>
      <x:c r="AF16" s="128" t="str">
        <x:v>GA-001, GA-006, GA-029</x:v>
      </x:c>
      <x:c r="AG16" s="128" t="str">
        <x:v>Tier critical suppliers, resolve assessment findings and confirm security/notification obligations plus a documented continuity option.</x:v>
      </x:c>
    </x:row>
    <x:row r="17" ht="92" customHeight="1">
      <x:c r="A17" s="128" t="str">
        <x:v>R-013</x:v>
      </x:c>
      <x:c r="B17" s="128" t="str">
        <x:v>Third-Party Risk</x:v>
      </x:c>
      <x:c r="C17" s="128" t="str">
        <x:v>SaaS vendors</x:v>
      </x:c>
      <x:c r="D17" s="128" t="str">
        <x:v>Unapproved SaaS services could process company data without security review.</x:v>
      </x:c>
      <x:c r="E17" s="128" t="str">
        <x:v>Shadow SaaS</x:v>
      </x:c>
      <x:c r="F17" s="128" t="str">
        <x:v>No complete service-provider inventory</x:v>
      </x:c>
      <x:c r="G17" s="128" t="n">
        <x:v>3</x:v>
      </x:c>
      <x:c r="H17" s="128" t="n">
        <x:v>4</x:v>
      </x:c>
      <x:c r="I17" s="138" t="n">
        <x:f>IF(A17="","",IF(COUNT(G17,H17)&lt;&gt;2,"",IF(AND(G17&gt;=1,G17&lt;=5,H17&gt;=1,H17&lt;=5,MOD(G17,1)=0,MOD(H17,1)=0),G17*H17,"")))</x:f>
        <x:v>12</x:v>
      </x:c>
      <x:c r="J17" s="138" t="str">
        <x:f>IF(A17="","",IF(ISNUMBER(I17),IF(I17&gt;=16,"Critical",IF(I17&gt;=10,"High",IF(I17&gt;=5,"Medium","Low"))),"Not assessed"))</x:f>
        <x:v>High</x:v>
      </x:c>
      <x:c r="K17" s="128" t="str">
        <x:v>Procurement records</x:v>
      </x:c>
      <x:c r="L17" s="128" t="str">
        <x:v>Ineffective</x:v>
      </x:c>
      <x:c r="M17" s="128" t="n">
        <x:v>3</x:v>
      </x:c>
      <x:c r="N17" s="128" t="n">
        <x:v>4</x:v>
      </x:c>
      <x:c r="O17" s="138" t="n">
        <x:f>IF(A17="","",IF(COUNT(M17,N17)&lt;&gt;2,"",IF(AND(M17&gt;=1,M17&lt;=5,N17&gt;=1,N17&lt;=5,MOD(M17,1)=0,MOD(N17,1)=0),M17*N17,"")))</x:f>
        <x:v>12</x:v>
      </x:c>
      <x:c r="P17" s="138" t="str">
        <x:f>IF(A17="","",IF(ISNUMBER(O17),IF(O17&gt;=16,"Critical",IF(O17&gt;=10,"High",IF(O17&gt;=5,"Medium","Low"))),"Not assessed"))</x:f>
        <x:v>High</x:v>
      </x:c>
      <x:c r="Q17" s="128" t="str">
        <x:v>Mitigate</x:v>
      </x:c>
      <x:c r="R17" s="128" t="str">
        <x:v>Create a vendor/SaaS inventory and approval process.</x:v>
      </x:c>
      <x:c r="S17" s="128" t="str">
        <x:v>Vendor Manager</x:v>
      </x:c>
      <x:c r="T17" s="128" t="str">
        <x:v>Planned</x:v>
      </x:c>
      <x:c r="U17" s="130" t="n">
        <x:v>46332</x:v>
      </x:c>
      <x:c r="V17" s="128" t="str">
        <x:v>Govern / Identify</x:v>
      </x:c>
      <x:c r="W17" s="128" t="str">
        <x:v>CIS 15</x:v>
      </x:c>
      <x:c r="X17" s="128" t="str">
        <x:v>Fictional scenario. Evidence listed at right has not been collected; completion test is proposed.</x:v>
      </x:c>
      <x:c r="Y17" s="128" t="str">
        <x:v>Unapproved SaaS can process sensitive information, giving likelihood 3 and impact 4. Procurement records omit unsanctioned services, so they do not justify reducing this risk.</x:v>
      </x:c>
      <x:c r="Z17" s="128" t="str">
        <x:v>Scenario only</x:v>
      </x:c>
      <x:c r="AA17" s="128" t="str">
        <x:v>Procurement list, SSO application list, expense records, discovered SaaS usage and data owners.</x:v>
      </x:c>
      <x:c r="AB17" s="130" t="n">
        <x:v>46298</x:v>
      </x:c>
      <x:c r="AC17" s="128"/>
      <x:c r="AD17" s="138" t="str">
        <x:f>IF(COUNTA(A17:H17,K17:N17,Q17:AC17,AF17:AG17)=0,"",IF(A17="","Missing ID",IF(COUNTIF($A$5:$A$104,A17)&gt;1,"Duplicate ID",IF(OR(B17="",C17="",D17="",E17="",F17="",K17="",L17="",R17=""),"Missing assessment context",IF(OR(NOT(ISNUMBER(I17)),NOT(ISNUMBER(O17))),"Incomplete or invalid scores",IF(OR(S17="",NOT(OR(T17="Open",T17="Planned",T17="In Progress",T17="Closed",T17="Accepted"))),"Missing owner or invalid status",IF(NOT(ISNUMBER(U17)),"Missing or invalid target date",IF(U17&lt;=0,"Missing or invalid target date",IF(NOT(OR(Q17="Mitigate",Q17="Accept",Q17="Transfer",Q17="Avoid")),"Invalid treatment",IF(AND(T17="Accepted",Q17&lt;&gt;"Accept"),"Treatment/status conflict",IF(OR(M17&gt;G17,N17&gt;H17),"Review residual increase","OK")))))))))))</x:f>
        <x:v>OK</x:v>
      </x:c>
      <x:c r="AE17" s="138" t="str">
        <x:f>IF(A17="","",IF(OR(Y17="",NOT(OR(Z17="Scenario only",Z17="Evidence requested",Z17="Evidence reviewed")),AA17="",NOT(ISNUMBER(AB17)),AF17="",AG17=""),"Add assessment support",IF(OR(AB17&lt;=0,AB17&gt;Methodology!$B$25),"Review date outside period",IF(AND(OR(T17="Closed",T17="Accepted"),OR(AC17="",Z17&lt;&gt;"Evidence reviewed")),"Closure review needed",IF(OR(T17="Closed",T17="Accepted"),"Decision recorded",IF(Z17="Evidence reviewed","Evidence recorded","Scenario documented"))))))</x:f>
        <x:v>Scenario documented</x:v>
      </x:c>
      <x:c r="AF17" s="128" t="str">
        <x:v>GA-006, GA-008</x:v>
      </x:c>
      <x:c r="AG17" s="128" t="str">
        <x:v>Reconcile discovered services to the approved inventory; assign owners and review or remove unapproved data-processing services.</x:v>
      </x:c>
    </x:row>
    <x:row r="18" ht="92" customHeight="1">
      <x:c r="A18" s="128" t="str">
        <x:v>R-014</x:v>
      </x:c>
      <x:c r="B18" s="128" t="str">
        <x:v>Incident Response</x:v>
      </x:c>
      <x:c r="C18" s="128" t="str">
        <x:v>Security logging</x:v>
      </x:c>
      <x:c r="D18" s="128" t="str">
        <x:v>A compromise could remain undetected because security logs are fragmented across systems.</x:v>
      </x:c>
      <x:c r="E18" s="128" t="str">
        <x:v>Undetected attacker activity</x:v>
      </x:c>
      <x:c r="F18" s="128" t="str">
        <x:v>Critical identity, endpoint, cloud, and network logs are not centralized</x:v>
      </x:c>
      <x:c r="G18" s="128" t="n">
        <x:v>4</x:v>
      </x:c>
      <x:c r="H18" s="128" t="n">
        <x:v>5</x:v>
      </x:c>
      <x:c r="I18" s="138" t="n">
        <x:f>IF(A18="","",IF(COUNT(G18,H18)&lt;&gt;2,"",IF(AND(G18&gt;=1,G18&lt;=5,H18&gt;=1,H18&lt;=5,MOD(G18,1)=0,MOD(H18,1)=0),G18*H18,"")))</x:f>
        <x:v>20</x:v>
      </x:c>
      <x:c r="J18" s="138" t="str">
        <x:f>IF(A18="","",IF(ISNUMBER(I18),IF(I18&gt;=16,"Critical",IF(I18&gt;=10,"High",IF(I18&gt;=5,"Medium","Low"))),"Not assessed"))</x:f>
        <x:v>Critical</x:v>
      </x:c>
      <x:c r="K18" s="128" t="str">
        <x:v>Native platform logs</x:v>
      </x:c>
      <x:c r="L18" s="128" t="str">
        <x:v>Ineffective</x:v>
      </x:c>
      <x:c r="M18" s="128" t="n">
        <x:v>4</x:v>
      </x:c>
      <x:c r="N18" s="128" t="n">
        <x:v>5</x:v>
      </x:c>
      <x:c r="O18" s="138" t="n">
        <x:f>IF(A18="","",IF(COUNT(M18,N18)&lt;&gt;2,"",IF(AND(M18&gt;=1,M18&lt;=5,N18&gt;=1,N18&lt;=5,MOD(M18,1)=0,MOD(N18,1)=0),M18*N18,"")))</x:f>
        <x:v>20</x:v>
      </x:c>
      <x:c r="P18" s="138" t="str">
        <x:f>IF(A18="","",IF(ISNUMBER(O18),IF(O18&gt;=16,"Critical",IF(O18&gt;=10,"High",IF(O18&gt;=5,"Medium","Low"))),"Not assessed"))</x:f>
        <x:v>Critical</x:v>
      </x:c>
      <x:c r="Q18" s="128" t="str">
        <x:v>Mitigate</x:v>
      </x:c>
      <x:c r="R18" s="128" t="str">
        <x:v>Centralize priority log sources and define minimum retention and alerting requirements.</x:v>
      </x:c>
      <x:c r="S18" s="128" t="str">
        <x:v>Security Manager</x:v>
      </x:c>
      <x:c r="T18" s="128" t="str">
        <x:v>Open</x:v>
      </x:c>
      <x:c r="U18" s="130" t="n">
        <x:v>46302</x:v>
      </x:c>
      <x:c r="V18" s="128" t="str">
        <x:v>Detect</x:v>
      </x:c>
      <x:c r="W18" s="128" t="str">
        <x:v>CIS 8, 13</x:v>
      </x:c>
      <x:c r="X18" s="128" t="str">
        <x:v>Fictional scenario. Evidence listed at right has not been collected; completion test is proposed.</x:v>
      </x:c>
      <x:c r="Y18" s="128" t="str">
        <x:v>Fragmented logs make missed attacker activity likely (4), with severe potential damage from delayed detection (5). Native logs exist but do not provide reliable cross-system monitoring. No reduction is assumed.</x:v>
      </x:c>
      <x:c r="Z18" s="128" t="str">
        <x:v>Scenario only</x:v>
      </x:c>
      <x:c r="AA18" s="128" t="str">
        <x:v>Log-source inventory, ingestion health, detection coverage, retention settings and alert tests.</x:v>
      </x:c>
      <x:c r="AB18" s="130" t="n">
        <x:v>46298</x:v>
      </x:c>
      <x:c r="AC18" s="128"/>
      <x:c r="AD18" s="138" t="str">
        <x:f>IF(COUNTA(A18:H18,K18:N18,Q18:AC18,AF18:AG18)=0,"",IF(A18="","Missing ID",IF(COUNTIF($A$5:$A$104,A18)&gt;1,"Duplicate ID",IF(OR(B18="",C18="",D18="",E18="",F18="",K18="",L18="",R18=""),"Missing assessment context",IF(OR(NOT(ISNUMBER(I18)),NOT(ISNUMBER(O18))),"Incomplete or invalid scores",IF(OR(S18="",NOT(OR(T18="Open",T18="Planned",T18="In Progress",T18="Closed",T18="Accepted"))),"Missing owner or invalid status",IF(NOT(ISNUMBER(U18)),"Missing or invalid target date",IF(U18&lt;=0,"Missing or invalid target date",IF(NOT(OR(Q18="Mitigate",Q18="Accept",Q18="Transfer",Q18="Avoid")),"Invalid treatment",IF(AND(T18="Accepted",Q18&lt;&gt;"Accept"),"Treatment/status conflict",IF(OR(M18&gt;G18,N18&gt;H18),"Review residual increase","OK")))))))))))</x:f>
        <x:v>OK</x:v>
      </x:c>
      <x:c r="AE18" s="138" t="str">
        <x:f>IF(A18="","",IF(OR(Y18="",NOT(OR(Z18="Scenario only",Z18="Evidence requested",Z18="Evidence reviewed")),AA18="",NOT(ISNUMBER(AB18)),AF18="",AG18=""),"Add assessment support",IF(OR(AB18&lt;=0,AB18&gt;Methodology!$B$25),"Review date outside period",IF(AND(OR(T18="Closed",T18="Accepted"),OR(AC18="",Z18&lt;&gt;"Evidence reviewed")),"Closure review needed",IF(OR(T18="Closed",T18="Accepted"),"Decision recorded",IF(Z18="Evidence reviewed","Evidence recorded","Scenario documented"))))))</x:f>
        <x:v>Scenario documented</x:v>
      </x:c>
      <x:c r="AF18" s="128" t="str">
        <x:v>GA-021, GA-022, GA-023, GA-031</x:v>
      </x:c>
      <x:c r="AG18" s="128" t="str">
        <x:v>Generate authorized test events in each priority source; confirm arrival, searchable fields, alert routing and investigation access.</x:v>
      </x:c>
    </x:row>
    <x:row r="19" ht="92" customHeight="1">
      <x:c r="A19" s="128" t="str">
        <x:v>R-015</x:v>
      </x:c>
      <x:c r="B19" s="128" t="str">
        <x:v>Incident Response</x:v>
      </x:c>
      <x:c r="C19" s="128" t="str">
        <x:v>Organization-wide</x:v>
      </x:c>
      <x:c r="D19" s="128" t="str">
        <x:v>A major cyber incident could be handled inconsistently because roles, escalation criteria, and communications are not fully documented.</x:v>
      </x:c>
      <x:c r="E19" s="128" t="str">
        <x:v>Cyber incident</x:v>
      </x:c>
      <x:c r="F19" s="128" t="str">
        <x:v>Incident response plan is incomplete and untested</x:v>
      </x:c>
      <x:c r="G19" s="128" t="n">
        <x:v>4</x:v>
      </x:c>
      <x:c r="H19" s="128" t="n">
        <x:v>5</x:v>
      </x:c>
      <x:c r="I19" s="138" t="n">
        <x:f>IF(A19="","",IF(COUNT(G19,H19)&lt;&gt;2,"",IF(AND(G19&gt;=1,G19&lt;=5,H19&gt;=1,H19&lt;=5,MOD(G19,1)=0,MOD(H19,1)=0),G19*H19,"")))</x:f>
        <x:v>20</x:v>
      </x:c>
      <x:c r="J19" s="138" t="str">
        <x:f>IF(A19="","",IF(ISNUMBER(I19),IF(I19&gt;=16,"Critical",IF(I19&gt;=10,"High",IF(I19&gt;=5,"Medium","Low"))),"Not assessed"))</x:f>
        <x:v>Critical</x:v>
      </x:c>
      <x:c r="K19" s="128" t="str">
        <x:v>Informal escalation contacts</x:v>
      </x:c>
      <x:c r="L19" s="128" t="str">
        <x:v>Ineffective</x:v>
      </x:c>
      <x:c r="M19" s="128" t="n">
        <x:v>4</x:v>
      </x:c>
      <x:c r="N19" s="128" t="n">
        <x:v>5</x:v>
      </x:c>
      <x:c r="O19" s="138" t="n">
        <x:f>IF(A19="","",IF(COUNT(M19,N19)&lt;&gt;2,"",IF(AND(M19&gt;=1,M19&lt;=5,N19&gt;=1,N19&lt;=5,MOD(M19,1)=0,MOD(N19,1)=0),M19*N19,"")))</x:f>
        <x:v>20</x:v>
      </x:c>
      <x:c r="P19" s="138" t="str">
        <x:f>IF(A19="","",IF(ISNUMBER(O19),IF(O19&gt;=16,"Critical",IF(O19&gt;=10,"High",IF(O19&gt;=5,"Medium","Low"))),"Not assessed"))</x:f>
        <x:v>Critical</x:v>
      </x:c>
      <x:c r="Q19" s="128" t="str">
        <x:v>Mitigate</x:v>
      </x:c>
      <x:c r="R19" s="128" t="str">
        <x:v>Create an incident response plan and conduct a tabletop exercise.</x:v>
      </x:c>
      <x:c r="S19" s="128" t="str">
        <x:v>Security Manager</x:v>
      </x:c>
      <x:c r="T19" s="128" t="str">
        <x:v>Open</x:v>
      </x:c>
      <x:c r="U19" s="130" t="n">
        <x:v>46317</x:v>
      </x:c>
      <x:c r="V19" s="128" t="str">
        <x:v>Respond</x:v>
      </x:c>
      <x:c r="W19" s="128" t="str">
        <x:v>CIS 17</x:v>
      </x:c>
      <x:c r="X19" s="128" t="str">
        <x:v>Fictional scenario. Evidence listed at right has not been collected; completion test is proposed.</x:v>
      </x:c>
      <x:c r="Y19" s="128" t="str">
        <x:v>A major incident could be mishandled because escalation and responsibilities are incomplete. Likelihood 4 describes that response failure, not incident frequency. Informal contacts do not reduce the modeled severe consequence (5).</x:v>
      </x:c>
      <x:c r="Z19" s="128" t="str">
        <x:v>Scenario only</x:v>
      </x:c>
      <x:c r="AA19" s="128" t="str">
        <x:v>Response plan, role roster, severity criteria, call tree, approval record and exercise notes.</x:v>
      </x:c>
      <x:c r="AB19" s="130" t="n">
        <x:v>46298</x:v>
      </x:c>
      <x:c r="AC19" s="128"/>
      <x:c r="AD19" s="138" t="str">
        <x:f>IF(COUNTA(A19:H19,K19:N19,Q19:AC19,AF19:AG19)=0,"",IF(A19="","Missing ID",IF(COUNTIF($A$5:$A$104,A19)&gt;1,"Duplicate ID",IF(OR(B19="",C19="",D19="",E19="",F19="",K19="",L19="",R19=""),"Missing assessment context",IF(OR(NOT(ISNUMBER(I19)),NOT(ISNUMBER(O19))),"Incomplete or invalid scores",IF(OR(S19="",NOT(OR(T19="Open",T19="Planned",T19="In Progress",T19="Closed",T19="Accepted"))),"Missing owner or invalid status",IF(NOT(ISNUMBER(U19)),"Missing or invalid target date",IF(U19&lt;=0,"Missing or invalid target date",IF(NOT(OR(Q19="Mitigate",Q19="Accept",Q19="Transfer",Q19="Avoid")),"Invalid treatment",IF(AND(T19="Accepted",Q19&lt;&gt;"Accept"),"Treatment/status conflict",IF(OR(M19&gt;G19,N19&gt;H19),"Review residual increase","OK")))))))))))</x:f>
        <x:v>OK</x:v>
      </x:c>
      <x:c r="AE19" s="138" t="str">
        <x:f>IF(A19="","",IF(OR(Y19="",NOT(OR(Z19="Scenario only",Z19="Evidence requested",Z19="Evidence reviewed")),AA19="",NOT(ISNUMBER(AB19)),AF19="",AG19=""),"Add assessment support",IF(OR(AB19&lt;=0,AB19&gt;Methodology!$B$25),"Review date outside period",IF(AND(OR(T19="Closed",T19="Accepted"),OR(AC19="",Z19&lt;&gt;"Evidence reviewed")),"Closure review needed",IF(OR(T19="Closed",T19="Accepted"),"Decision recorded",IF(Z19="Evidence reviewed","Evidence recorded","Scenario documented"))))))</x:f>
        <x:v>Scenario documented</x:v>
      </x:c>
      <x:c r="AF19" s="128" t="str">
        <x:v>GA-025, GA-026, GA-027, GA-028, GA-031</x:v>
      </x:c>
      <x:c r="AG19" s="128" t="str">
        <x:v>Run a tabletop with a timed escalation and decision log; assign corrective actions and verify the most important fixes.</x:v>
      </x:c>
    </x:row>
    <x:row r="20" ht="92" customHeight="1">
      <x:c r="A20" s="128" t="str">
        <x:v>R-016</x:v>
      </x:c>
      <x:c r="B20" s="128" t="str">
        <x:v>Business Continuity</x:v>
      </x:c>
      <x:c r="C20" s="128" t="str">
        <x:v>Backup repository</x:v>
      </x:c>
      <x:c r="D20" s="128" t="str">
        <x:v>Ransomware could affect production data and reachable backups, limiting the company’s ability to recover.</x:v>
      </x:c>
      <x:c r="E20" s="128" t="str">
        <x:v>Ransomware</x:v>
      </x:c>
      <x:c r="F20" s="128" t="str">
        <x:v>Backups are not sufficiently isolated or immutable</x:v>
      </x:c>
      <x:c r="G20" s="128" t="n">
        <x:v>4</x:v>
      </x:c>
      <x:c r="H20" s="128" t="n">
        <x:v>5</x:v>
      </x:c>
      <x:c r="I20" s="138" t="n">
        <x:f>IF(A20="","",IF(COUNT(G20,H20)&lt;&gt;2,"",IF(AND(G20&gt;=1,G20&lt;=5,H20&gt;=1,H20&lt;=5,MOD(G20,1)=0,MOD(H20,1)=0),G20*H20,"")))</x:f>
        <x:v>20</x:v>
      </x:c>
      <x:c r="J20" s="138" t="str">
        <x:f>IF(A20="","",IF(ISNUMBER(I20),IF(I20&gt;=16,"Critical",IF(I20&gt;=10,"High",IF(I20&gt;=5,"Medium","Low"))),"Not assessed"))</x:f>
        <x:v>Critical</x:v>
      </x:c>
      <x:c r="K20" s="128" t="str">
        <x:v>Scheduled backups</x:v>
      </x:c>
      <x:c r="L20" s="128" t="str">
        <x:v>Partially Effective</x:v>
      </x:c>
      <x:c r="M20" s="128" t="n">
        <x:v>4</x:v>
      </x:c>
      <x:c r="N20" s="128" t="n">
        <x:v>5</x:v>
      </x:c>
      <x:c r="O20" s="138" t="n">
        <x:f>IF(A20="","",IF(COUNT(M20,N20)&lt;&gt;2,"",IF(AND(M20&gt;=1,M20&lt;=5,N20&gt;=1,N20&lt;=5,MOD(M20,1)=0,MOD(N20,1)=0),M20*N20,"")))</x:f>
        <x:v>20</x:v>
      </x:c>
      <x:c r="P20" s="138" t="str">
        <x:f>IF(A20="","",IF(ISNUMBER(O20),IF(O20&gt;=16,"Critical",IF(O20&gt;=10,"High",IF(O20&gt;=5,"Medium","Low"))),"Not assessed"))</x:f>
        <x:v>Critical</x:v>
      </x:c>
      <x:c r="Q20" s="128" t="str">
        <x:v>Mitigate</x:v>
      </x:c>
      <x:c r="R20" s="128" t="str">
        <x:v>Maintain immutable/offline copies and test restoration on a recurring schedule.</x:v>
      </x:c>
      <x:c r="S20" s="128" t="str">
        <x:v>Operations Manager</x:v>
      </x:c>
      <x:c r="T20" s="128" t="str">
        <x:v>In Progress</x:v>
      </x:c>
      <x:c r="U20" s="130" t="n">
        <x:v>46302</x:v>
      </x:c>
      <x:c r="V20" s="128" t="str">
        <x:v>Protect / Recover</x:v>
      </x:c>
      <x:c r="W20" s="128" t="str">
        <x:v>CIS 11</x:v>
      </x:c>
      <x:c r="X20" s="128" t="str">
        <x:v>Fictional scenario. Evidence listed at right has not been collected; completion test is proposed.</x:v>
      </x:c>
      <x:c r="Y20" s="128" t="str">
        <x:v>The event is loss of recoverability during ransomware. Reachable backups can fail with production, so scheduled jobs alone do not justify reducing likelihood 4 or impact 5. Isolation and restoration remain proposed controls.</x:v>
      </x:c>
      <x:c r="Z20" s="128" t="str">
        <x:v>Scenario only</x:v>
      </x:c>
      <x:c r="AA20" s="128" t="str">
        <x:v>Backup job reports, immutability settings, access separation, offline-copy records and restoration results.</x:v>
      </x:c>
      <x:c r="AB20" s="130" t="n">
        <x:v>46298</x:v>
      </x:c>
      <x:c r="AC20" s="128"/>
      <x:c r="AD20" s="138" t="str">
        <x:f>IF(COUNTA(A20:H20,K20:N20,Q20:AC20,AF20:AG20)=0,"",IF(A20="","Missing ID",IF(COUNTIF($A$5:$A$104,A20)&gt;1,"Duplicate ID",IF(OR(B20="",C20="",D20="",E20="",F20="",K20="",L20="",R20=""),"Missing assessment context",IF(OR(NOT(ISNUMBER(I20)),NOT(ISNUMBER(O20))),"Incomplete or invalid scores",IF(OR(S20="",NOT(OR(T20="Open",T20="Planned",T20="In Progress",T20="Closed",T20="Accepted"))),"Missing owner or invalid status",IF(NOT(ISNUMBER(U20)),"Missing or invalid target date",IF(U20&lt;=0,"Missing or invalid target date",IF(NOT(OR(Q20="Mitigate",Q20="Accept",Q20="Transfer",Q20="Avoid")),"Invalid treatment",IF(AND(T20="Accepted",Q20&lt;&gt;"Accept"),"Treatment/status conflict",IF(OR(M20&gt;G20,N20&gt;H20),"Review residual increase","OK")))))))))))</x:f>
        <x:v>OK</x:v>
      </x:c>
      <x:c r="AE20" s="138" t="str">
        <x:f>IF(A20="","",IF(OR(Y20="",NOT(OR(Z20="Scenario only",Z20="Evidence requested",Z20="Evidence reviewed")),AA20="",NOT(ISNUMBER(AB20)),AF20="",AG20=""),"Add assessment support",IF(OR(AB20&lt;=0,AB20&gt;Methodology!$B$25),"Review date outside period",IF(AND(OR(T20="Closed",T20="Accepted"),OR(AC20="",Z20&lt;&gt;"Evidence reviewed")),"Closure review needed",IF(OR(T20="Closed",T20="Accepted"),"Decision recorded",IF(Z20="Evidence reviewed","Evidence recorded","Scenario documented"))))))</x:f>
        <x:v>Scenario documented</x:v>
      </x:c>
      <x:c r="AF20" s="128" t="str">
        <x:v>GA-019, GA-029</x:v>
      </x:c>
      <x:c r="AG20" s="128" t="str">
        <x:v>Restore a representative service into an isolated environment; verify copy protection and measure data loss and recovery time.</x:v>
      </x:c>
    </x:row>
    <x:row r="21" ht="92" customHeight="1">
      <x:c r="A21" s="128" t="str">
        <x:v>R-017</x:v>
      </x:c>
      <x:c r="B21" s="128" t="str">
        <x:v>Business Continuity</x:v>
      </x:c>
      <x:c r="C21" s="128" t="str">
        <x:v>Production SaaS</x:v>
      </x:c>
      <x:c r="D21" s="128" t="str">
        <x:v>A cloud outage could make the customer service unavailable longer than expected.</x:v>
      </x:c>
      <x:c r="E21" s="128" t="str">
        <x:v>Cloud/service outage</x:v>
      </x:c>
      <x:c r="F21" s="128" t="str">
        <x:v>RTO/RPO and failover procedures are not formally validated</x:v>
      </x:c>
      <x:c r="G21" s="128" t="n">
        <x:v>3</x:v>
      </x:c>
      <x:c r="H21" s="128" t="n">
        <x:v>5</x:v>
      </x:c>
      <x:c r="I21" s="138" t="n">
        <x:f>IF(A21="","",IF(COUNT(G21,H21)&lt;&gt;2,"",IF(AND(G21&gt;=1,G21&lt;=5,H21&gt;=1,H21&lt;=5,MOD(G21,1)=0,MOD(H21,1)=0),G21*H21,"")))</x:f>
        <x:v>15</x:v>
      </x:c>
      <x:c r="J21" s="138" t="str">
        <x:f>IF(A21="","",IF(ISNUMBER(I21),IF(I21&gt;=16,"Critical",IF(I21&gt;=10,"High",IF(I21&gt;=5,"Medium","Low"))),"Not assessed"))</x:f>
        <x:v>High</x:v>
      </x:c>
      <x:c r="K21" s="128" t="str">
        <x:v>Provider redundancy; backups</x:v>
      </x:c>
      <x:c r="L21" s="128" t="str">
        <x:v>Partially Effective</x:v>
      </x:c>
      <x:c r="M21" s="128" t="n">
        <x:v>2</x:v>
      </x:c>
      <x:c r="N21" s="128" t="n">
        <x:v>5</x:v>
      </x:c>
      <x:c r="O21" s="138" t="n">
        <x:f>IF(A21="","",IF(COUNT(M21,N21)&lt;&gt;2,"",IF(AND(M21&gt;=1,M21&lt;=5,N21&gt;=1,N21&lt;=5,MOD(M21,1)=0,MOD(N21,1)=0),M21*N21,"")))</x:f>
        <x:v>10</x:v>
      </x:c>
      <x:c r="P21" s="138" t="str">
        <x:f>IF(A21="","",IF(ISNUMBER(O21),IF(O21&gt;=16,"Critical",IF(O21&gt;=10,"High",IF(O21&gt;=5,"Medium","Low"))),"Not assessed"))</x:f>
        <x:v>High</x:v>
      </x:c>
      <x:c r="Q21" s="128" t="str">
        <x:v>Mitigate</x:v>
      </x:c>
      <x:c r="R21" s="128" t="str">
        <x:v>Define business-approved RTO/RPO and test restoration/failover procedures.</x:v>
      </x:c>
      <x:c r="S21" s="128" t="str">
        <x:v>Operations Manager</x:v>
      </x:c>
      <x:c r="T21" s="128" t="str">
        <x:v>Planned</x:v>
      </x:c>
      <x:c r="U21" s="130" t="n">
        <x:v>46362</x:v>
      </x:c>
      <x:c r="V21" s="128" t="str">
        <x:v>Identify / Recover</x:v>
      </x:c>
      <x:c r="W21" s="128" t="str">
        <x:v>CIS 11</x:v>
      </x:c>
      <x:c r="X21" s="128" t="str">
        <x:v>Fictional scenario. Evidence listed at right has not been collected; completion test is proposed.</x:v>
      </x:c>
      <x:c r="Y21" s="128" t="str">
        <x:v>Provider redundancy reduces outage likelihood from 3 to 2. Recovery time and data-loss objectives have not been validated, so severe business impact 5 remains plausible. Backups alone do not prove timely service restoration.</x:v>
      </x:c>
      <x:c r="Z21" s="128" t="str">
        <x:v>Scenario only</x:v>
      </x:c>
      <x:c r="AA21" s="128" t="str">
        <x:v>Dependency map, recovery procedures, provider architecture, business-approved RTO/RPO and test results.</x:v>
      </x:c>
      <x:c r="AB21" s="130" t="n">
        <x:v>46298</x:v>
      </x:c>
      <x:c r="AC21" s="128"/>
      <x:c r="AD21" s="138" t="str">
        <x:f>IF(COUNTA(A21:H21,K21:N21,Q21:AC21,AF21:AG21)=0,"",IF(A21="","Missing ID",IF(COUNTIF($A$5:$A$104,A21)&gt;1,"Duplicate ID",IF(OR(B21="",C21="",D21="",E21="",F21="",K21="",L21="",R21=""),"Missing assessment context",IF(OR(NOT(ISNUMBER(I21)),NOT(ISNUMBER(O21))),"Incomplete or invalid scores",IF(OR(S21="",NOT(OR(T21="Open",T21="Planned",T21="In Progress",T21="Closed",T21="Accepted"))),"Missing owner or invalid status",IF(NOT(ISNUMBER(U21)),"Missing or invalid target date",IF(U21&lt;=0,"Missing or invalid target date",IF(NOT(OR(Q21="Mitigate",Q21="Accept",Q21="Transfer",Q21="Avoid")),"Invalid treatment",IF(AND(T21="Accepted",Q21&lt;&gt;"Accept"),"Treatment/status conflict",IF(OR(M21&gt;G21,N21&gt;H21),"Review residual increase","OK")))))))))))</x:f>
        <x:v>OK</x:v>
      </x:c>
      <x:c r="AE21" s="138" t="str">
        <x:f>IF(A21="","",IF(OR(Y21="",NOT(OR(Z21="Scenario only",Z21="Evidence requested",Z21="Evidence reviewed")),AA21="",NOT(ISNUMBER(AB21)),AF21="",AG21=""),"Add assessment support",IF(OR(AB21&lt;=0,AB21&gt;Methodology!$B$25),"Review date outside period",IF(AND(OR(T21="Closed",T21="Accepted"),OR(AC21="",Z21&lt;&gt;"Evidence reviewed")),"Closure review needed",IF(OR(T21="Closed",T21="Accepted"),"Decision recorded",IF(Z21="Evidence reviewed","Evidence recorded","Scenario documented"))))))</x:f>
        <x:v>Scenario documented</x:v>
      </x:c>
      <x:c r="AF21" s="128" t="str">
        <x:v>GA-001, GA-019, GA-029, GA-030</x:v>
      </x:c>
      <x:c r="AG21" s="128" t="str">
        <x:v>Exercise recovery of a critical service, including identity and dependencies; compare elapsed time and recovered data to approved RTO/RPO.</x:v>
      </x:c>
    </x:row>
    <x:row r="22" ht="92" customHeight="1">
      <x:c r="A22" s="128" t="str">
        <x:v>R-018</x:v>
      </x:c>
      <x:c r="B22" s="128" t="str">
        <x:v>Security Awareness</x:v>
      </x:c>
      <x:c r="C22" s="128" t="str">
        <x:v>Workforce</x:v>
      </x:c>
      <x:c r="D22" s="128" t="str">
        <x:v>A phishing message could capture employee credentials and lead to account compromise.</x:v>
      </x:c>
      <x:c r="E22" s="128" t="str">
        <x:v>Phishing / social engineering</x:v>
      </x:c>
      <x:c r="F22" s="128" t="str">
        <x:v>Awareness training is annual and phishing resilience is not routinely measured</x:v>
      </x:c>
      <x:c r="G22" s="128" t="n">
        <x:v>4</x:v>
      </x:c>
      <x:c r="H22" s="128" t="n">
        <x:v>4</x:v>
      </x:c>
      <x:c r="I22" s="138" t="n">
        <x:f>IF(A22="","",IF(COUNT(G22,H22)&lt;&gt;2,"",IF(AND(G22&gt;=1,G22&lt;=5,H22&gt;=1,H22&lt;=5,MOD(G22,1)=0,MOD(H22,1)=0),G22*H22,"")))</x:f>
        <x:v>16</x:v>
      </x:c>
      <x:c r="J22" s="138" t="str">
        <x:f>IF(A22="","",IF(ISNUMBER(I22),IF(I22&gt;=16,"Critical",IF(I22&gt;=10,"High",IF(I22&gt;=5,"Medium","Low"))),"Not assessed"))</x:f>
        <x:v>Critical</x:v>
      </x:c>
      <x:c r="K22" s="128" t="str">
        <x:v>Annual training; email filtering</x:v>
      </x:c>
      <x:c r="L22" s="128" t="str">
        <x:v>Partially Effective</x:v>
      </x:c>
      <x:c r="M22" s="128" t="n">
        <x:v>3</x:v>
      </x:c>
      <x:c r="N22" s="128" t="n">
        <x:v>4</x:v>
      </x:c>
      <x:c r="O22" s="138" t="n">
        <x:f>IF(A22="","",IF(COUNT(M22,N22)&lt;&gt;2,"",IF(AND(M22&gt;=1,M22&lt;=5,N22&gt;=1,N22&lt;=5,MOD(M22,1)=0,MOD(N22,1)=0),M22*N22,"")))</x:f>
        <x:v>12</x:v>
      </x:c>
      <x:c r="P22" s="138" t="str">
        <x:f>IF(A22="","",IF(ISNUMBER(O22),IF(O22&gt;=16,"Critical",IF(O22&gt;=10,"High",IF(O22&gt;=5,"Medium","Low"))),"Not assessed"))</x:f>
        <x:v>High</x:v>
      </x:c>
      <x:c r="Q22" s="128" t="str">
        <x:v>Mitigate</x:v>
      </x:c>
      <x:c r="R22" s="128" t="str">
        <x:v>Run periodic phishing exercises and targeted role-based awareness training.</x:v>
      </x:c>
      <x:c r="S22" s="128" t="str">
        <x:v>HR Manager</x:v>
      </x:c>
      <x:c r="T22" s="128" t="str">
        <x:v>Planned</x:v>
      </x:c>
      <x:c r="U22" s="130" t="n">
        <x:v>46332</x:v>
      </x:c>
      <x:c r="V22" s="128" t="str">
        <x:v>Protect</x:v>
      </x:c>
      <x:c r="W22" s="128" t="str">
        <x:v>CIS 14</x:v>
      </x:c>
      <x:c r="X22" s="128" t="str">
        <x:v>Fictional scenario. Evidence listed at right has not been collected; completion test is proposed.</x:v>
      </x:c>
      <x:c r="Y22" s="128" t="str">
        <x:v>Credential phishing is likely (4) and could materially disrupt operations (4). Email filtering and annual training lower likelihood to 3. They do not limit damage after compromise, so impact remains 4.</x:v>
      </x:c>
      <x:c r="Z22" s="128" t="str">
        <x:v>Scenario only</x:v>
      </x:c>
      <x:c r="AA22" s="128" t="str">
        <x:v>Training completion, role-based content, phishing exercise results, reporting channel and follow-up actions.</x:v>
      </x:c>
      <x:c r="AB22" s="130" t="n">
        <x:v>46298</x:v>
      </x:c>
      <x:c r="AC22" s="128"/>
      <x:c r="AD22" s="138" t="str">
        <x:f>IF(COUNTA(A22:H22,K22:N22,Q22:AC22,AF22:AG22)=0,"",IF(A22="","Missing ID",IF(COUNTIF($A$5:$A$104,A22)&gt;1,"Duplicate ID",IF(OR(B22="",C22="",D22="",E22="",F22="",K22="",L22="",R22=""),"Missing assessment context",IF(OR(NOT(ISNUMBER(I22)),NOT(ISNUMBER(O22))),"Incomplete or invalid scores",IF(OR(S22="",NOT(OR(T22="Open",T22="Planned",T22="In Progress",T22="Closed",T22="Accepted"))),"Missing owner or invalid status",IF(NOT(ISNUMBER(U22)),"Missing or invalid target date",IF(U22&lt;=0,"Missing or invalid target date",IF(NOT(OR(Q22="Mitigate",Q22="Accept",Q22="Transfer",Q22="Avoid")),"Invalid treatment",IF(AND(T22="Accepted",Q22&lt;&gt;"Accept"),"Treatment/status conflict",IF(OR(M22&gt;G22,N22&gt;H22),"Review residual increase","OK")))))))))))</x:f>
        <x:v>OK</x:v>
      </x:c>
      <x:c r="AE22" s="138" t="str">
        <x:f>IF(A22="","",IF(OR(Y22="",NOT(OR(Z22="Scenario only",Z22="Evidence requested",Z22="Evidence reviewed")),AA22="",NOT(ISNUMBER(AB22)),AF22="",AG22=""),"Add assessment support",IF(OR(AB22&lt;=0,AB22&gt;Methodology!$B$25),"Review date outside period",IF(AND(OR(T22="Closed",T22="Accepted"),OR(AC22="",Z22&lt;&gt;"Evidence reviewed")),"Closure review needed",IF(OR(T22="Closed",T22="Accepted"),"Decision recorded",IF(Z22="Evidence reviewed","Evidence recorded","Scenario documented"))))))</x:f>
        <x:v>Scenario documented</x:v>
      </x:c>
      <x:c r="AF22" s="128" t="str">
        <x:v>GA-014, GA-022, GA-028</x:v>
      </x:c>
      <x:c r="AG22" s="128" t="str">
        <x:v>Run an authorized awareness exercise and verify reporting and follow-up; compare results over time without claiming a causal reduction from one test.</x:v>
      </x:c>
    </x:row>
    <x:row r="23" ht="92" customHeight="1">
      <x:c r="A23" s="128" t="str">
        <x:v>R-019</x:v>
      </x:c>
      <x:c r="B23" s="128" t="str">
        <x:v>Network Security</x:v>
      </x:c>
      <x:c r="C23" s="128" t="str">
        <x:v>Corporate network</x:v>
      </x:c>
      <x:c r="D23" s="128" t="str">
        <x:v>An attacker who compromises one endpoint could move laterally toward higher-value systems.</x:v>
      </x:c>
      <x:c r="E23" s="128" t="str">
        <x:v>Lateral movement</x:v>
      </x:c>
      <x:c r="F23" s="128" t="str">
        <x:v>Internal network segmentation is limited</x:v>
      </x:c>
      <x:c r="G23" s="128" t="n">
        <x:v>3</x:v>
      </x:c>
      <x:c r="H23" s="128" t="n">
        <x:v>5</x:v>
      </x:c>
      <x:c r="I23" s="138" t="n">
        <x:f>IF(A23="","",IF(COUNT(G23,H23)&lt;&gt;2,"",IF(AND(G23&gt;=1,G23&lt;=5,H23&gt;=1,H23&lt;=5,MOD(G23,1)=0,MOD(H23,1)=0),G23*H23,"")))</x:f>
        <x:v>15</x:v>
      </x:c>
      <x:c r="J23" s="138" t="str">
        <x:f>IF(A23="","",IF(ISNUMBER(I23),IF(I23&gt;=16,"Critical",IF(I23&gt;=10,"High",IF(I23&gt;=5,"Medium","Low"))),"Not assessed"))</x:f>
        <x:v>High</x:v>
      </x:c>
      <x:c r="K23" s="128" t="str">
        <x:v>Perimeter firewall; endpoint firewalls</x:v>
      </x:c>
      <x:c r="L23" s="128" t="str">
        <x:v>Partially Effective</x:v>
      </x:c>
      <x:c r="M23" s="128" t="n">
        <x:v>3</x:v>
      </x:c>
      <x:c r="N23" s="128" t="n">
        <x:v>5</x:v>
      </x:c>
      <x:c r="O23" s="138" t="n">
        <x:f>IF(A23="","",IF(COUNT(M23,N23)&lt;&gt;2,"",IF(AND(M23&gt;=1,M23&lt;=5,N23&gt;=1,N23&lt;=5,MOD(M23,1)=0,MOD(N23,1)=0),M23*N23,"")))</x:f>
        <x:v>15</x:v>
      </x:c>
      <x:c r="P23" s="138" t="str">
        <x:f>IF(A23="","",IF(ISNUMBER(O23),IF(O23&gt;=16,"Critical",IF(O23&gt;=10,"High",IF(O23&gt;=5,"Medium","Low"))),"Not assessed"))</x:f>
        <x:v>High</x:v>
      </x:c>
      <x:c r="Q23" s="128" t="str">
        <x:v>Mitigate</x:v>
      </x:c>
      <x:c r="R23" s="128" t="str">
        <x:v>Segment user, server, administrative, and security networks.</x:v>
      </x:c>
      <x:c r="S23" s="128" t="str">
        <x:v>IT Manager</x:v>
      </x:c>
      <x:c r="T23" s="128" t="str">
        <x:v>Planned</x:v>
      </x:c>
      <x:c r="U23" s="130" t="n">
        <x:v>46362</x:v>
      </x:c>
      <x:c r="V23" s="128" t="str">
        <x:v>Protect / Detect</x:v>
      </x:c>
      <x:c r="W23" s="128" t="str">
        <x:v>CIS 12, 13</x:v>
      </x:c>
      <x:c r="X23" s="128" t="str">
        <x:v>Fictional scenario. Evidence listed at right has not been collected; completion test is proposed.</x:v>
      </x:c>
      <x:c r="Y23" s="128" t="str">
        <x:v>A compromised device may reach high-value systems, giving likelihood 3 and impact 5. Perimeter and endpoint firewalls do not establish internal segmentation. Residual scores stay unchanged until reachability is tested.</x:v>
      </x:c>
      <x:c r="Z23" s="128" t="str">
        <x:v>Scenario only</x:v>
      </x:c>
      <x:c r="AA23" s="128" t="str">
        <x:v>Network diagram, internal firewall rules, administrative paths and permitted-traffic matrix.</x:v>
      </x:c>
      <x:c r="AB23" s="130" t="n">
        <x:v>46298</x:v>
      </x:c>
      <x:c r="AC23" s="128"/>
      <x:c r="AD23" s="138" t="str">
        <x:f>IF(COUNTA(A23:H23,K23:N23,Q23:AC23,AF23:AG23)=0,"",IF(A23="","Missing ID",IF(COUNTIF($A$5:$A$104,A23)&gt;1,"Duplicate ID",IF(OR(B23="",C23="",D23="",E23="",F23="",K23="",L23="",R23=""),"Missing assessment context",IF(OR(NOT(ISNUMBER(I23)),NOT(ISNUMBER(O23))),"Incomplete or invalid scores",IF(OR(S23="",NOT(OR(T23="Open",T23="Planned",T23="In Progress",T23="Closed",T23="Accepted"))),"Missing owner or invalid status",IF(NOT(ISNUMBER(U23)),"Missing or invalid target date",IF(U23&lt;=0,"Missing or invalid target date",IF(NOT(OR(Q23="Mitigate",Q23="Accept",Q23="Transfer",Q23="Avoid")),"Invalid treatment",IF(AND(T23="Accepted",Q23&lt;&gt;"Accept"),"Treatment/status conflict",IF(OR(M23&gt;G23,N23&gt;H23),"Review residual increase","OK")))))))))))</x:f>
        <x:v>OK</x:v>
      </x:c>
      <x:c r="AE23" s="138" t="str">
        <x:f>IF(A23="","",IF(OR(Y23="",NOT(OR(Z23="Scenario only",Z23="Evidence requested",Z23="Evidence reviewed")),AA23="",NOT(ISNUMBER(AB23)),AF23="",AG23=""),"Add assessment support",IF(OR(AB23&lt;=0,AB23&gt;Methodology!$B$25),"Review date outside period",IF(AND(OR(T23="Closed",T23="Accepted"),OR(AC23="",Z23&lt;&gt;"Evidence reviewed")),"Closure review needed",IF(OR(T23="Closed",T23="Accepted"),"Decision recorded",IF(Z23="Evidence reviewed","Evidence recorded","Scenario documented"))))))</x:f>
        <x:v>Scenario documented</x:v>
      </x:c>
      <x:c r="AF23" s="128" t="str">
        <x:v>GA-020</x:v>
      </x:c>
      <x:c r="AG23" s="128" t="str">
        <x:v>Test allowed and denied paths between user, server and admin zones; remove unnecessary reachability and approve exceptions.</x:v>
      </x:c>
    </x:row>
    <x:row r="24" ht="92" customHeight="1">
      <x:c r="A24" s="128" t="str">
        <x:v>R-020</x:v>
      </x:c>
      <x:c r="B24" s="128" t="str">
        <x:v>Network Security</x:v>
      </x:c>
      <x:c r="C24" s="128" t="str">
        <x:v>Corporate network</x:v>
      </x:c>
      <x:c r="D24" s="128" t="str">
        <x:v>An unmanaged device could connect to the network without being identified quickly.</x:v>
      </x:c>
      <x:c r="E24" s="128" t="str">
        <x:v>Rogue / unmanaged device</x:v>
      </x:c>
      <x:c r="F24" s="128" t="str">
        <x:v>Asset discovery and network access restrictions are incomplete</x:v>
      </x:c>
      <x:c r="G24" s="128" t="n">
        <x:v>3</x:v>
      </x:c>
      <x:c r="H24" s="128" t="n">
        <x:v>4</x:v>
      </x:c>
      <x:c r="I24" s="138" t="n">
        <x:f>IF(A24="","",IF(COUNT(G24,H24)&lt;&gt;2,"",IF(AND(G24&gt;=1,G24&lt;=5,H24&gt;=1,H24&lt;=5,MOD(G24,1)=0,MOD(H24,1)=0),G24*H24,"")))</x:f>
        <x:v>12</x:v>
      </x:c>
      <x:c r="J24" s="138" t="str">
        <x:f>IF(A24="","",IF(ISNUMBER(I24),IF(I24&gt;=16,"Critical",IF(I24&gt;=10,"High",IF(I24&gt;=5,"Medium","Low"))),"Not assessed"))</x:f>
        <x:v>High</x:v>
      </x:c>
      <x:c r="K24" s="128" t="str">
        <x:v>DHCP logs; manual inventory</x:v>
      </x:c>
      <x:c r="L24" s="128" t="str">
        <x:v>Ineffective</x:v>
      </x:c>
      <x:c r="M24" s="128" t="n">
        <x:v>3</x:v>
      </x:c>
      <x:c r="N24" s="128" t="n">
        <x:v>4</x:v>
      </x:c>
      <x:c r="O24" s="138" t="n">
        <x:f>IF(A24="","",IF(COUNT(M24,N24)&lt;&gt;2,"",IF(AND(M24&gt;=1,M24&lt;=5,N24&gt;=1,N24&lt;=5,MOD(M24,1)=0,MOD(N24,1)=0),M24*N24,"")))</x:f>
        <x:v>12</x:v>
      </x:c>
      <x:c r="P24" s="138" t="str">
        <x:f>IF(A24="","",IF(ISNUMBER(O24),IF(O24&gt;=16,"Critical",IF(O24&gt;=10,"High",IF(O24&gt;=5,"Medium","Low"))),"Not assessed"))</x:f>
        <x:v>High</x:v>
      </x:c>
      <x:c r="Q24" s="128" t="str">
        <x:v>Mitigate</x:v>
      </x:c>
      <x:c r="R24" s="128" t="str">
        <x:v>Automate asset discovery and create a process for investigating unknown devices.</x:v>
      </x:c>
      <x:c r="S24" s="128" t="str">
        <x:v>IT Manager</x:v>
      </x:c>
      <x:c r="T24" s="128" t="str">
        <x:v>Open</x:v>
      </x:c>
      <x:c r="U24" s="130" t="n">
        <x:v>46332</x:v>
      </x:c>
      <x:c r="V24" s="128" t="str">
        <x:v>Identify / Protect</x:v>
      </x:c>
      <x:c r="W24" s="128" t="str">
        <x:v>CIS 1, 12</x:v>
      </x:c>
      <x:c r="X24" s="128" t="str">
        <x:v>Fictional scenario. Evidence listed at right has not been collected; completion test is proposed.</x:v>
      </x:c>
      <x:c r="Y24" s="128" t="str">
        <x:v>Unknown devices may connect because discovery and admission controls are incomplete (3). They could provide a foothold with major impact (4). DHCP logs and a manual inventory are detective records without a demonstrated response, so no reduction is credited.</x:v>
      </x:c>
      <x:c r="Z24" s="128" t="str">
        <x:v>Scenario only</x:v>
      </x:c>
      <x:c r="AA24" s="128" t="str">
        <x:v>Asset inventory, DHCP/switch records, discovery results and unknown-device investigation tickets.</x:v>
      </x:c>
      <x:c r="AB24" s="130" t="n">
        <x:v>46298</x:v>
      </x:c>
      <x:c r="AC24" s="128"/>
      <x:c r="AD24" s="138" t="str">
        <x:f>IF(COUNTA(A24:H24,K24:N24,Q24:AC24,AF24:AG24)=0,"",IF(A24="","Missing ID",IF(COUNTIF($A$5:$A$104,A24)&gt;1,"Duplicate ID",IF(OR(B24="",C24="",D24="",E24="",F24="",K24="",L24="",R24=""),"Missing assessment context",IF(OR(NOT(ISNUMBER(I24)),NOT(ISNUMBER(O24))),"Incomplete or invalid scores",IF(OR(S24="",NOT(OR(T24="Open",T24="Planned",T24="In Progress",T24="Closed",T24="Accepted"))),"Missing owner or invalid status",IF(NOT(ISNUMBER(U24)),"Missing or invalid target date",IF(U24&lt;=0,"Missing or invalid target date",IF(NOT(OR(Q24="Mitigate",Q24="Accept",Q24="Transfer",Q24="Avoid")),"Invalid treatment",IF(AND(T24="Accepted",Q24&lt;&gt;"Accept"),"Treatment/status conflict",IF(OR(M24&gt;G24,N24&gt;H24),"Review residual increase","OK")))))))))))</x:f>
        <x:v>OK</x:v>
      </x:c>
      <x:c r="AE24" s="138" t="str">
        <x:f>IF(A24="","",IF(OR(Y24="",NOT(OR(Z24="Scenario only",Z24="Evidence requested",Z24="Evidence reviewed")),AA24="",NOT(ISNUMBER(AB24)),AF24="",AG24=""),"Add assessment support",IF(OR(AB24&lt;=0,AB24&gt;Methodology!$B$25),"Review date outside period",IF(AND(OR(T24="Closed",T24="Accepted"),OR(AC24="",Z24&lt;&gt;"Evidence reviewed")),"Closure review needed",IF(OR(T24="Closed",T24="Accepted"),"Decision recorded",IF(Z24="Evidence reviewed","Evidence recorded","Scenario documented"))))))</x:f>
        <x:v>Scenario documented</x:v>
      </x:c>
      <x:c r="AF24" s="128" t="str">
        <x:v>GA-007, GA-020</x:v>
      </x:c>
      <x:c r="AG24" s="128" t="str">
        <x:v>Compare discovered devices against managed inventory; investigate unmatched devices and verify quarantine or removal procedures.</x:v>
      </x:c>
    </x:row>
    <x:row r="25" ht="92" customHeight="1">
      <x:c r="A25" s="128" t="str">
        <x:v>R-021</x:v>
      </x:c>
      <x:c r="B25" s="128" t="str">
        <x:v>Governance &amp; Compliance</x:v>
      </x:c>
      <x:c r="C25" s="128" t="str">
        <x:v>Security policy program</x:v>
      </x:c>
      <x:c r="D25" s="128" t="str">
        <x:v>Security practices could become inconsistent because key policies are missing or outdated.</x:v>
      </x:c>
      <x:c r="E25" s="128" t="str">
        <x:v>Governance failure</x:v>
      </x:c>
      <x:c r="F25" s="128" t="str">
        <x:v>No consistent policy lifecycle or exception process</x:v>
      </x:c>
      <x:c r="G25" s="128" t="n">
        <x:v>3</x:v>
      </x:c>
      <x:c r="H25" s="128" t="n">
        <x:v>4</x:v>
      </x:c>
      <x:c r="I25" s="138" t="n">
        <x:f>IF(A25="","",IF(COUNT(G25,H25)&lt;&gt;2,"",IF(AND(G25&gt;=1,G25&lt;=5,H25&gt;=1,H25&lt;=5,MOD(G25,1)=0,MOD(H25,1)=0),G25*H25,"")))</x:f>
        <x:v>12</x:v>
      </x:c>
      <x:c r="J25" s="138" t="str">
        <x:f>IF(A25="","",IF(ISNUMBER(I25),IF(I25&gt;=16,"Critical",IF(I25&gt;=10,"High",IF(I25&gt;=5,"Medium","Low"))),"Not assessed"))</x:f>
        <x:v>High</x:v>
      </x:c>
      <x:c r="K25" s="128" t="str">
        <x:v>Informal standards and procedures</x:v>
      </x:c>
      <x:c r="L25" s="128" t="str">
        <x:v>Ineffective</x:v>
      </x:c>
      <x:c r="M25" s="128" t="n">
        <x:v>3</x:v>
      </x:c>
      <x:c r="N25" s="128" t="n">
        <x:v>4</x:v>
      </x:c>
      <x:c r="O25" s="138" t="n">
        <x:f>IF(A25="","",IF(COUNT(M25,N25)&lt;&gt;2,"",IF(AND(M25&gt;=1,M25&lt;=5,N25&gt;=1,N25&lt;=5,MOD(M25,1)=0,MOD(N25,1)=0),M25*N25,"")))</x:f>
        <x:v>12</x:v>
      </x:c>
      <x:c r="P25" s="138" t="str">
        <x:f>IF(A25="","",IF(ISNUMBER(O25),IF(O25&gt;=16,"Critical",IF(O25&gt;=10,"High",IF(O25&gt;=5,"Medium","Low"))),"Not assessed"))</x:f>
        <x:v>High</x:v>
      </x:c>
      <x:c r="Q25" s="128" t="str">
        <x:v>Mitigate</x:v>
      </x:c>
      <x:c r="R25" s="128" t="str">
        <x:v>Publish priority security policies and assign owners/review dates.</x:v>
      </x:c>
      <x:c r="S25" s="128" t="str">
        <x:v>Compliance Manager</x:v>
      </x:c>
      <x:c r="T25" s="128" t="str">
        <x:v>Open</x:v>
      </x:c>
      <x:c r="U25" s="130" t="n">
        <x:v>46332</x:v>
      </x:c>
      <x:c r="V25" s="128" t="str">
        <x:v>Govern</x:v>
      </x:c>
      <x:c r="W25" s="128" t="str">
        <x:v>No direct control mapping; see NIST Govern</x:v>
      </x:c>
      <x:c r="X25" s="128" t="str">
        <x:v>Fictional scenario. Evidence listed at right has not been collected; completion test is proposed.</x:v>
      </x:c>
      <x:c r="Y25" s="128" t="str">
        <x:v>Missing policy ownership and reviews make inconsistent practices possible (3) with major operational impact (4). Informal procedures lack a repeatable lifecycle, so the residual estimate remains 3 by 4.</x:v>
      </x:c>
      <x:c r="Z25" s="128" t="str">
        <x:v>Scenario only</x:v>
      </x:c>
      <x:c r="AA25" s="128" t="str">
        <x:v>Policy inventory, approval dates, owners, review schedule, exception process and staff communication.</x:v>
      </x:c>
      <x:c r="AB25" s="130" t="n">
        <x:v>46298</x:v>
      </x:c>
      <x:c r="AC25" s="128"/>
      <x:c r="AD25" s="138" t="str">
        <x:f>IF(COUNTA(A25:H25,K25:N25,Q25:AC25,AF25:AG25)=0,"",IF(A25="","Missing ID",IF(COUNTIF($A$5:$A$104,A25)&gt;1,"Duplicate ID",IF(OR(B25="",C25="",D25="",E25="",F25="",K25="",L25="",R25=""),"Missing assessment context",IF(OR(NOT(ISNUMBER(I25)),NOT(ISNUMBER(O25))),"Incomplete or invalid scores",IF(OR(S25="",NOT(OR(T25="Open",T25="Planned",T25="In Progress",T25="Closed",T25="Accepted"))),"Missing owner or invalid status",IF(NOT(ISNUMBER(U25)),"Missing or invalid target date",IF(U25&lt;=0,"Missing or invalid target date",IF(NOT(OR(Q25="Mitigate",Q25="Accept",Q25="Transfer",Q25="Avoid")),"Invalid treatment",IF(AND(T25="Accepted",Q25&lt;&gt;"Accept"),"Treatment/status conflict",IF(OR(M25&gt;G25,N25&gt;H25),"Review residual increase","OK")))))))))))</x:f>
        <x:v>OK</x:v>
      </x:c>
      <x:c r="AE25" s="138" t="str">
        <x:f>IF(A25="","",IF(OR(Y25="",NOT(OR(Z25="Scenario only",Z25="Evidence requested",Z25="Evidence reviewed")),AA25="",NOT(ISNUMBER(AB25)),AF25="",AG25=""),"Add assessment support",IF(OR(AB25&lt;=0,AB25&gt;Methodology!$B$25),"Review date outside period",IF(AND(OR(T25="Closed",T25="Accepted"),OR(AC25="",Z25&lt;&gt;"Evidence reviewed")),"Closure review needed",IF(OR(T25="Closed",T25="Accepted"),"Decision recorded",IF(Z25="Evidence reviewed","Evidence recorded","Scenario documented"))))))</x:f>
        <x:v>Scenario documented</x:v>
      </x:c>
      <x:c r="AF25" s="128" t="str">
        <x:v>GA-003, GA-004</x:v>
      </x:c>
      <x:c r="AG25" s="128" t="str">
        <x:v>Publish approved priority policies with named owners and next review dates; trace one exception through the documented process.</x:v>
      </x:c>
    </x:row>
    <x:row r="26" ht="92" customHeight="1">
      <x:c r="A26" s="128" t="str">
        <x:v>R-022</x:v>
      </x:c>
      <x:c r="B26" s="128" t="str">
        <x:v>Governance &amp; Compliance</x:v>
      </x:c>
      <x:c r="C26" s="128" t="str">
        <x:v>Cyber risk management</x:v>
      </x:c>
      <x:c r="D26" s="128" t="str">
        <x:v>Leadership may not have a consistent view of cyber exposure if risk reviews and reporting are ad hoc.</x:v>
      </x:c>
      <x:c r="E26" s="128" t="str">
        <x:v>Poor risk visibility</x:v>
      </x:c>
      <x:c r="F26" s="128" t="str">
        <x:v>No formal cyber-risk review cadence or appetite statement</x:v>
      </x:c>
      <x:c r="G26" s="128" t="n">
        <x:v>3</x:v>
      </x:c>
      <x:c r="H26" s="128" t="n">
        <x:v>4</x:v>
      </x:c>
      <x:c r="I26" s="138" t="n">
        <x:f>IF(A26="","",IF(COUNT(G26,H26)&lt;&gt;2,"",IF(AND(G26&gt;=1,G26&lt;=5,H26&gt;=1,H26&lt;=5,MOD(G26,1)=0,MOD(H26,1)=0),G26*H26,"")))</x:f>
        <x:v>12</x:v>
      </x:c>
      <x:c r="J26" s="138" t="str">
        <x:f>IF(A26="","",IF(ISNUMBER(I26),IF(I26&gt;=16,"Critical",IF(I26&gt;=10,"High",IF(I26&gt;=5,"Medium","Low"))),"Not assessed"))</x:f>
        <x:v>High</x:v>
      </x:c>
      <x:c r="K26" s="128" t="str">
        <x:v>Ad hoc security meetings</x:v>
      </x:c>
      <x:c r="L26" s="128" t="str">
        <x:v>Ineffective</x:v>
      </x:c>
      <x:c r="M26" s="128" t="n">
        <x:v>3</x:v>
      </x:c>
      <x:c r="N26" s="128" t="n">
        <x:v>4</x:v>
      </x:c>
      <x:c r="O26" s="138" t="n">
        <x:f>IF(A26="","",IF(COUNT(M26,N26)&lt;&gt;2,"",IF(AND(M26&gt;=1,M26&lt;=5,N26&gt;=1,N26&lt;=5,MOD(M26,1)=0,MOD(N26,1)=0),M26*N26,"")))</x:f>
        <x:v>12</x:v>
      </x:c>
      <x:c r="P26" s="138" t="str">
        <x:f>IF(A26="","",IF(ISNUMBER(O26),IF(O26&gt;=16,"Critical",IF(O26&gt;=10,"High",IF(O26&gt;=5,"Medium","Low"))),"Not assessed"))</x:f>
        <x:v>High</x:v>
      </x:c>
      <x:c r="Q26" s="128" t="str">
        <x:v>Mitigate</x:v>
      </x:c>
      <x:c r="R26" s="128" t="str">
        <x:v>Establish quarterly risk reviews and document risk appetite/tolerance.</x:v>
      </x:c>
      <x:c r="S26" s="128" t="str">
        <x:v>CISO</x:v>
      </x:c>
      <x:c r="T26" s="128" t="str">
        <x:v>Open</x:v>
      </x:c>
      <x:c r="U26" s="130" t="n">
        <x:v>46317</x:v>
      </x:c>
      <x:c r="V26" s="128" t="str">
        <x:v>Govern</x:v>
      </x:c>
      <x:c r="W26" s="128" t="str">
        <x:v>No direct control mapping; see NIST Govern</x:v>
      </x:c>
      <x:c r="X26" s="128" t="str">
        <x:v>Fictional scenario. Evidence listed at right has not been collected; completion test is proposed.</x:v>
      </x:c>
      <x:c r="Y26" s="128" t="str">
        <x:v>Ad hoc reporting can leave material exposure outside leadership decisions (3 by 4). Meetings without risk appetite, escalation criteria or a review record do not establish a reduction.</x:v>
      </x:c>
      <x:c r="Z26" s="128" t="str">
        <x:v>Scenario only</x:v>
      </x:c>
      <x:c r="AA26" s="128" t="str">
        <x:v>Risk methodology, appetite/tolerance statement, review calendar, leadership reports and decision records.</x:v>
      </x:c>
      <x:c r="AB26" s="130" t="n">
        <x:v>46298</x:v>
      </x:c>
      <x:c r="AC26" s="128"/>
      <x:c r="AD26" s="138" t="str">
        <x:f>IF(COUNTA(A26:H26,K26:N26,Q26:AC26,AF26:AG26)=0,"",IF(A26="","Missing ID",IF(COUNTIF($A$5:$A$104,A26)&gt;1,"Duplicate ID",IF(OR(B26="",C26="",D26="",E26="",F26="",K26="",L26="",R26=""),"Missing assessment context",IF(OR(NOT(ISNUMBER(I26)),NOT(ISNUMBER(O26))),"Incomplete or invalid scores",IF(OR(S26="",NOT(OR(T26="Open",T26="Planned",T26="In Progress",T26="Closed",T26="Accepted"))),"Missing owner or invalid status",IF(NOT(ISNUMBER(U26)),"Missing or invalid target date",IF(U26&lt;=0,"Missing or invalid target date",IF(NOT(OR(Q26="Mitigate",Q26="Accept",Q26="Transfer",Q26="Avoid")),"Invalid treatment",IF(AND(T26="Accepted",Q26&lt;&gt;"Accept"),"Treatment/status conflict",IF(OR(M26&gt;G26,N26&gt;H26),"Review residual increase","OK")))))))))))</x:f>
        <x:v>OK</x:v>
      </x:c>
      <x:c r="AE26" s="138" t="str">
        <x:f>IF(A26="","",IF(OR(Y26="",NOT(OR(Z26="Scenario only",Z26="Evidence requested",Z26="Evidence reviewed")),AA26="",NOT(ISNUMBER(AB26)),AF26="",AG26=""),"Add assessment support",IF(OR(AB26&lt;=0,AB26&gt;Methodology!$B$25),"Review date outside period",IF(AND(OR(T26="Closed",T26="Accepted"),OR(AC26="",Z26&lt;&gt;"Evidence reviewed")),"Closure review needed",IF(OR(T26="Closed",T26="Accepted"),"Decision recorded",IF(Z26="Evidence reviewed","Evidence recorded","Scenario documented"))))))</x:f>
        <x:v>Scenario documented</x:v>
      </x:c>
      <x:c r="AF26" s="128" t="str">
        <x:v>GA-002, GA-005, GA-009</x:v>
      </x:c>
      <x:c r="AG26" s="128" t="str">
        <x:v>Conduct a documented review with owners; escalate items above the agreed threshold and record treatment or acceptance decisions.</x:v>
      </x:c>
    </x:row>
    <x:row r="27" ht="92" customHeight="1">
      <x:c r="A27" s="128" t="str">
        <x:v>R-023</x:v>
      </x:c>
      <x:c r="B27" s="128" t="str">
        <x:v>Application Security</x:v>
      </x:c>
      <x:c r="C27" s="128" t="str">
        <x:v>Source code repository</x:v>
      </x:c>
      <x:c r="D27" s="128" t="str">
        <x:v>An exposed API key or token in source code could allow unauthorized access to cloud or application resources.</x:v>
      </x:c>
      <x:c r="E27" s="128" t="str">
        <x:v>Secret leakage</x:v>
      </x:c>
      <x:c r="F27" s="128" t="str">
        <x:v>Secrets can be committed to repositories without automated detection</x:v>
      </x:c>
      <x:c r="G27" s="128" t="n">
        <x:v>4</x:v>
      </x:c>
      <x:c r="H27" s="128" t="n">
        <x:v>5</x:v>
      </x:c>
      <x:c r="I27" s="138" t="n">
        <x:f>IF(A27="","",IF(COUNT(G27,H27)&lt;&gt;2,"",IF(AND(G27&gt;=1,G27&lt;=5,H27&gt;=1,H27&lt;=5,MOD(G27,1)=0,MOD(H27,1)=0),G27*H27,"")))</x:f>
        <x:v>20</x:v>
      </x:c>
      <x:c r="J27" s="138" t="str">
        <x:f>IF(A27="","",IF(ISNUMBER(I27),IF(I27&gt;=16,"Critical",IF(I27&gt;=10,"High",IF(I27&gt;=5,"Medium","Low"))),"Not assessed"))</x:f>
        <x:v>Critical</x:v>
      </x:c>
      <x:c r="K27" s="128" t="str">
        <x:v>Repository permissions; manual code review</x:v>
      </x:c>
      <x:c r="L27" s="128" t="str">
        <x:v>Partially Effective</x:v>
      </x:c>
      <x:c r="M27" s="128" t="n">
        <x:v>3</x:v>
      </x:c>
      <x:c r="N27" s="128" t="n">
        <x:v>5</x:v>
      </x:c>
      <x:c r="O27" s="138" t="n">
        <x:f>IF(A27="","",IF(COUNT(M27,N27)&lt;&gt;2,"",IF(AND(M27&gt;=1,M27&lt;=5,N27&gt;=1,N27&lt;=5,MOD(M27,1)=0,MOD(N27,1)=0),M27*N27,"")))</x:f>
        <x:v>15</x:v>
      </x:c>
      <x:c r="P27" s="138" t="str">
        <x:f>IF(A27="","",IF(ISNUMBER(O27),IF(O27&gt;=16,"Critical",IF(O27&gt;=10,"High",IF(O27&gt;=5,"Medium","Low"))),"Not assessed"))</x:f>
        <x:v>High</x:v>
      </x:c>
      <x:c r="Q27" s="128" t="str">
        <x:v>Mitigate</x:v>
      </x:c>
      <x:c r="R27" s="128" t="str">
        <x:v>Enable secret scanning, use a secrets manager, and rotate exposed credentials.</x:v>
      </x:c>
      <x:c r="S27" s="128" t="str">
        <x:v>Application Owner</x:v>
      </x:c>
      <x:c r="T27" s="128" t="str">
        <x:v>In Progress</x:v>
      </x:c>
      <x:c r="U27" s="130" t="n">
        <x:v>46293</x:v>
      </x:c>
      <x:c r="V27" s="128" t="str">
        <x:v>Protect / Detect</x:v>
      </x:c>
      <x:c r="W27" s="128" t="str">
        <x:v>CIS 3, 6, 16</x:v>
      </x:c>
      <x:c r="X27" s="128" t="str">
        <x:v>Fictional scenario. Evidence listed at right has not been collected; completion test is proposed.</x:v>
      </x:c>
      <x:c r="Y27" s="128" t="str">
        <x:v>A committed secret could enable production access (impact 5). Repository permissions and manual review lower likelihood from 4 to 3 but cannot reliably detect every credential. Rotation and automated scanning are proposed.</x:v>
      </x:c>
      <x:c r="Z27" s="128" t="str">
        <x:v>Scenario only</x:v>
      </x:c>
      <x:c r="AA27" s="128" t="str">
        <x:v>Repository scan results, pipeline checks, secrets-manager configuration, key permissions and rotation records.</x:v>
      </x:c>
      <x:c r="AB27" s="130" t="n">
        <x:v>46298</x:v>
      </x:c>
      <x:c r="AC27" s="128"/>
      <x:c r="AD27" s="138" t="str">
        <x:f>IF(COUNTA(A27:H27,K27:N27,Q27:AC27,AF27:AG27)=0,"",IF(A27="","Missing ID",IF(COUNTIF($A$5:$A$104,A27)&gt;1,"Duplicate ID",IF(OR(B27="",C27="",D27="",E27="",F27="",K27="",L27="",R27=""),"Missing assessment context",IF(OR(NOT(ISNUMBER(I27)),NOT(ISNUMBER(O27))),"Incomplete or invalid scores",IF(OR(S27="",NOT(OR(T27="Open",T27="Planned",T27="In Progress",T27="Closed",T27="Accepted"))),"Missing owner or invalid status",IF(NOT(ISNUMBER(U27)),"Missing or invalid target date",IF(U27&lt;=0,"Missing or invalid target date",IF(NOT(OR(Q27="Mitigate",Q27="Accept",Q27="Transfer",Q27="Avoid")),"Invalid treatment",IF(AND(T27="Accepted",Q27&lt;&gt;"Accept"),"Treatment/status conflict",IF(OR(M27&gt;G27,N27&gt;H27),"Review residual increase","OK")))))))))))</x:f>
        <x:v>OK</x:v>
      </x:c>
      <x:c r="AE27" s="138" t="str">
        <x:f>IF(A27="","",IF(OR(Y27="",NOT(OR(Z27="Scenario only",Z27="Evidence requested",Z27="Evidence reviewed")),AA27="",NOT(ISNUMBER(AB27)),AF27="",AG27=""),"Add assessment support",IF(OR(AB27&lt;=0,AB27&gt;Methodology!$B$25),"Review date outside period",IF(AND(OR(T27="Closed",T27="Accepted"),OR(AC27="",Z27&lt;&gt;"Evidence reviewed")),"Closure review needed",IF(OR(T27="Closed",T27="Accepted"),"Decision recorded",IF(Z27="Evidence reviewed","Evidence recorded","Scenario documented"))))))</x:f>
        <x:v>Scenario documented</x:v>
      </x:c>
      <x:c r="AF27" s="128" t="str">
        <x:v>GA-018, GA-022, GA-028</x:v>
      </x:c>
      <x:c r="AG27" s="128" t="str">
        <x:v>Use a dummy secret to test detection; rotate any confirmed exposure, scan history and verify workloads retrieve secrets securely.</x:v>
      </x:c>
    </x:row>
    <x:row r="28" ht="92" customHeight="1">
      <x:c r="A28" s="128" t="str">
        <x:v>R-024</x:v>
      </x:c>
      <x:c r="B28" s="128" t="str">
        <x:v>Data Protection</x:v>
      </x:c>
      <x:c r="C28" s="128" t="str">
        <x:v>Backup repository</x:v>
      </x:c>
      <x:c r="D28" s="128" t="str">
        <x:v>Sensitive backup data could be exposed if backup administration is broader than production access.</x:v>
      </x:c>
      <x:c r="E28" s="128" t="str">
        <x:v>Unauthorized access</x:v>
      </x:c>
      <x:c r="F28" s="128" t="str">
        <x:v>Backup roles are not tightly separated from production administration</x:v>
      </x:c>
      <x:c r="G28" s="128" t="n">
        <x:v>3</x:v>
      </x:c>
      <x:c r="H28" s="128" t="n">
        <x:v>5</x:v>
      </x:c>
      <x:c r="I28" s="138" t="n">
        <x:f>IF(A28="","",IF(COUNT(G28,H28)&lt;&gt;2,"",IF(AND(G28&gt;=1,G28&lt;=5,H28&gt;=1,H28&lt;=5,MOD(G28,1)=0,MOD(H28,1)=0),G28*H28,"")))</x:f>
        <x:v>15</x:v>
      </x:c>
      <x:c r="J28" s="138" t="str">
        <x:f>IF(A28="","",IF(ISNUMBER(I28),IF(I28&gt;=16,"Critical",IF(I28&gt;=10,"High",IF(I28&gt;=5,"Medium","Low"))),"Not assessed"))</x:f>
        <x:v>High</x:v>
      </x:c>
      <x:c r="K28" s="128" t="str">
        <x:v>Backup authentication</x:v>
      </x:c>
      <x:c r="L28" s="128" t="str">
        <x:v>Ineffective</x:v>
      </x:c>
      <x:c r="M28" s="128" t="n">
        <x:v>3</x:v>
      </x:c>
      <x:c r="N28" s="128" t="n">
        <x:v>5</x:v>
      </x:c>
      <x:c r="O28" s="138" t="n">
        <x:f>IF(A28="","",IF(COUNT(M28,N28)&lt;&gt;2,"",IF(AND(M28&gt;=1,M28&lt;=5,N28&gt;=1,N28&lt;=5,MOD(M28,1)=0,MOD(N28,1)=0),M28*N28,"")))</x:f>
        <x:v>15</x:v>
      </x:c>
      <x:c r="P28" s="138" t="str">
        <x:f>IF(A28="","",IF(ISNUMBER(O28),IF(O28&gt;=16,"Critical",IF(O28&gt;=10,"High",IF(O28&gt;=5,"Medium","Low"))),"Not assessed"))</x:f>
        <x:v>High</x:v>
      </x:c>
      <x:c r="Q28" s="128" t="str">
        <x:v>Mitigate</x:v>
      </x:c>
      <x:c r="R28" s="128" t="str">
        <x:v>Restrict backup admin privileges and encrypt backup data.</x:v>
      </x:c>
      <x:c r="S28" s="128" t="str">
        <x:v>Operations Manager</x:v>
      </x:c>
      <x:c r="T28" s="128" t="str">
        <x:v>Planned</x:v>
      </x:c>
      <x:c r="U28" s="130" t="n">
        <x:v>46317</x:v>
      </x:c>
      <x:c r="V28" s="128" t="str">
        <x:v>Protect</x:v>
      </x:c>
      <x:c r="W28" s="128" t="str">
        <x:v>CIS 3, 11</x:v>
      </x:c>
      <x:c r="X28" s="128" t="str">
        <x:v>Fictional scenario. Evidence listed at right has not been collected; completion test is proposed.</x:v>
      </x:c>
      <x:c r="Y28" s="128" t="str">
        <x:v>Broad backup administration permits access to sensitive backup data (3 by 5). Authentication alone does not enforce least privilege or encryption, so no residual reduction is justified.</x:v>
      </x:c>
      <x:c r="Z28" s="128" t="str">
        <x:v>Scenario only</x:v>
      </x:c>
      <x:c r="AA28" s="128" t="str">
        <x:v>Backup access list, role separation, encryption settings, key access and administrator audit records.</x:v>
      </x:c>
      <x:c r="AB28" s="130" t="n">
        <x:v>46298</x:v>
      </x:c>
      <x:c r="AC28" s="128"/>
      <x:c r="AD28" s="138" t="str">
        <x:f>IF(COUNTA(A28:H28,K28:N28,Q28:AC28,AF28:AG28)=0,"",IF(A28="","Missing ID",IF(COUNTIF($A$5:$A$104,A28)&gt;1,"Duplicate ID",IF(OR(B28="",C28="",D28="",E28="",F28="",K28="",L28="",R28=""),"Missing assessment context",IF(OR(NOT(ISNUMBER(I28)),NOT(ISNUMBER(O28))),"Incomplete or invalid scores",IF(OR(S28="",NOT(OR(T28="Open",T28="Planned",T28="In Progress",T28="Closed",T28="Accepted"))),"Missing owner or invalid status",IF(NOT(ISNUMBER(U28)),"Missing or invalid target date",IF(U28&lt;=0,"Missing or invalid target date",IF(NOT(OR(Q28="Mitigate",Q28="Accept",Q28="Transfer",Q28="Avoid")),"Invalid treatment",IF(AND(T28="Accepted",Q28&lt;&gt;"Accept"),"Treatment/status conflict",IF(OR(M28&gt;G28,N28&gt;H28),"Review residual increase","OK")))))))))))</x:f>
        <x:v>OK</x:v>
      </x:c>
      <x:c r="AE28" s="138" t="str">
        <x:f>IF(A28="","",IF(OR(Y28="",NOT(OR(Z28="Scenario only",Z28="Evidence requested",Z28="Evidence reviewed")),AA28="",NOT(ISNUMBER(AB28)),AF28="",AG28=""),"Add assessment support",IF(OR(AB28&lt;=0,AB28&gt;Methodology!$B$25),"Review date outside period",IF(AND(OR(T28="Closed",T28="Accepted"),OR(AC28="",Z28&lt;&gt;"Evidence reviewed")),"Closure review needed",IF(OR(T28="Closed",T28="Accepted"),"Decision recorded",IF(Z28="Evidence reviewed","Evidence recorded","Scenario documented"))))))</x:f>
        <x:v>Scenario documented</x:v>
      </x:c>
      <x:c r="AF28" s="128" t="str">
        <x:v>GA-013, GA-015, GA-019</x:v>
      </x:c>
      <x:c r="AG28" s="128" t="str">
        <x:v>Remove unnecessary backup access; verify encryption and separation of backup roles from production administration.</x:v>
      </x:c>
    </x:row>
    <x:row r="29" ht="92" customHeight="1">
      <x:c r="A29" s="128" t="str">
        <x:v>R-025</x:v>
      </x:c>
      <x:c r="B29" s="128" t="str">
        <x:v>Vulnerability Management</x:v>
      </x:c>
      <x:c r="C29" s="128" t="str">
        <x:v>Employee endpoints</x:v>
      </x:c>
      <x:c r="D29" s="128" t="str">
        <x:v>Unsupported software could remain installed and create vulnerabilities that cannot be reliably patched.</x:v>
      </x:c>
      <x:c r="E29" s="128" t="str">
        <x:v>Exploitation of unsupported software</x:v>
      </x:c>
      <x:c r="F29" s="128" t="str">
        <x:v>Software lifecycle and EOL tracking are incomplete</x:v>
      </x:c>
      <x:c r="G29" s="128" t="n">
        <x:v>3</x:v>
      </x:c>
      <x:c r="H29" s="128" t="n">
        <x:v>4</x:v>
      </x:c>
      <x:c r="I29" s="138" t="n">
        <x:f>IF(A29="","",IF(COUNT(G29,H29)&lt;&gt;2,"",IF(AND(G29&gt;=1,G29&lt;=5,H29&gt;=1,H29&lt;=5,MOD(G29,1)=0,MOD(H29,1)=0),G29*H29,"")))</x:f>
        <x:v>12</x:v>
      </x:c>
      <x:c r="J29" s="138" t="str">
        <x:f>IF(A29="","",IF(ISNUMBER(I29),IF(I29&gt;=16,"Critical",IF(I29&gt;=10,"High",IF(I29&gt;=5,"Medium","Low"))),"Not assessed"))</x:f>
        <x:v>High</x:v>
      </x:c>
      <x:c r="K29" s="128" t="str">
        <x:v>Endpoint management; ad hoc inventory</x:v>
      </x:c>
      <x:c r="L29" s="128" t="str">
        <x:v>Partially Effective</x:v>
      </x:c>
      <x:c r="M29" s="128" t="n">
        <x:v>2</x:v>
      </x:c>
      <x:c r="N29" s="128" t="n">
        <x:v>4</x:v>
      </x:c>
      <x:c r="O29" s="138" t="n">
        <x:f>IF(A29="","",IF(COUNT(M29,N29)&lt;&gt;2,"",IF(AND(M29&gt;=1,M29&lt;=5,N29&gt;=1,N29&lt;=5,MOD(M29,1)=0,MOD(N29,1)=0),M29*N29,"")))</x:f>
        <x:v>8</x:v>
      </x:c>
      <x:c r="P29" s="138" t="str">
        <x:f>IF(A29="","",IF(ISNUMBER(O29),IF(O29&gt;=16,"Critical",IF(O29&gt;=10,"High",IF(O29&gt;=5,"Medium","Low"))),"Not assessed"))</x:f>
        <x:v>Medium</x:v>
      </x:c>
      <x:c r="Q29" s="128" t="str">
        <x:v>Mitigate</x:v>
      </x:c>
      <x:c r="R29" s="128" t="str">
        <x:v>Track installed software and remove or upgrade end-of-life products.</x:v>
      </x:c>
      <x:c r="S29" s="128" t="str">
        <x:v>IT Manager</x:v>
      </x:c>
      <x:c r="T29" s="128" t="str">
        <x:v>Planned</x:v>
      </x:c>
      <x:c r="U29" s="130" t="n">
        <x:v>46347</x:v>
      </x:c>
      <x:c r="V29" s="128" t="str">
        <x:v>Identify / Protect</x:v>
      </x:c>
      <x:c r="W29" s="128" t="str">
        <x:v>CIS 2, 7</x:v>
      </x:c>
      <x:c r="X29" s="128" t="str">
        <x:v>Fictional scenario. Evidence listed at right has not been collected; completion test is proposed.</x:v>
      </x:c>
      <x:c r="Y29" s="128" t="str">
        <x:v>Unsupported software makes exploitation possible (3), with major impact (4). Endpoint management provides some visibility and lowers likelihood to 2. Missing lifecycle tracking leaves impact unchanged.</x:v>
      </x:c>
      <x:c r="Z29" s="128" t="str">
        <x:v>Scenario only</x:v>
      </x:c>
      <x:c r="AA29" s="128" t="str">
        <x:v>Installed-software export, vendor support dates, application owners and upgrade/removal tickets.</x:v>
      </x:c>
      <x:c r="AB29" s="130" t="n">
        <x:v>46298</x:v>
      </x:c>
      <x:c r="AC29" s="128"/>
      <x:c r="AD29" s="138" t="str">
        <x:f>IF(COUNTA(A29:H29,K29:N29,Q29:AC29,AF29:AG29)=0,"",IF(A29="","Missing ID",IF(COUNTIF($A$5:$A$104,A29)&gt;1,"Duplicate ID",IF(OR(B29="",C29="",D29="",E29="",F29="",K29="",L29="",R29=""),"Missing assessment context",IF(OR(NOT(ISNUMBER(I29)),NOT(ISNUMBER(O29))),"Incomplete or invalid scores",IF(OR(S29="",NOT(OR(T29="Open",T29="Planned",T29="In Progress",T29="Closed",T29="Accepted"))),"Missing owner or invalid status",IF(NOT(ISNUMBER(U29)),"Missing or invalid target date",IF(U29&lt;=0,"Missing or invalid target date",IF(NOT(OR(Q29="Mitigate",Q29="Accept",Q29="Transfer",Q29="Avoid")),"Invalid treatment",IF(AND(T29="Accepted",Q29&lt;&gt;"Accept"),"Treatment/status conflict",IF(OR(M29&gt;G29,N29&gt;H29),"Review residual increase","OK")))))))))))</x:f>
        <x:v>OK</x:v>
      </x:c>
      <x:c r="AE29" s="138" t="str">
        <x:f>IF(A29="","",IF(OR(Y29="",NOT(OR(Z29="Scenario only",Z29="Evidence requested",Z29="Evidence reviewed")),AA29="",NOT(ISNUMBER(AB29)),AF29="",AG29=""),"Add assessment support",IF(OR(AB29&lt;=0,AB29&gt;Methodology!$B$25),"Review date outside period",IF(AND(OR(T29="Closed",T29="Accepted"),OR(AC29="",Z29&lt;&gt;"Evidence reviewed")),"Closure review needed",IF(OR(T29="Closed",T29="Accepted"),"Decision recorded",IF(Z29="Evidence reviewed","Evidence recorded","Scenario documented"))))))</x:f>
        <x:v>Scenario documented</x:v>
      </x:c>
      <x:c r="AF29" s="128" t="str">
        <x:v>GA-008, GA-010, GA-017</x:v>
      </x:c>
      <x:c r="AG29" s="128" t="str">
        <x:v>Reconcile software against support dates; remove or upgrade unsupported items and document expiring business exceptions.</x:v>
      </x:c>
    </x:row>
    <x:row r="30" ht="92" customHeight="1">
      <x:c r="A30" s="128" t="str">
        <x:v>R-026</x:v>
      </x:c>
      <x:c r="B30" s="128" t="str">
        <x:v>Incident Response</x:v>
      </x:c>
      <x:c r="C30" s="128" t="str">
        <x:v>Audit logs</x:v>
      </x:c>
      <x:c r="D30" s="128" t="str">
        <x:v>An attacker could delete local logs and reduce the evidence available for investigation.</x:v>
      </x:c>
      <x:c r="E30" s="128" t="str">
        <x:v>Defense evasion</x:v>
      </x:c>
      <x:c r="F30" s="128" t="str">
        <x:v>Important logs depend on local storage</x:v>
      </x:c>
      <x:c r="G30" s="128" t="n">
        <x:v>3</x:v>
      </x:c>
      <x:c r="H30" s="128" t="n">
        <x:v>4</x:v>
      </x:c>
      <x:c r="I30" s="138" t="n">
        <x:f>IF(A30="","",IF(COUNT(G30,H30)&lt;&gt;2,"",IF(AND(G30&gt;=1,G30&lt;=5,H30&gt;=1,H30&lt;=5,MOD(G30,1)=0,MOD(H30,1)=0),G30*H30,"")))</x:f>
        <x:v>12</x:v>
      </x:c>
      <x:c r="J30" s="138" t="str">
        <x:f>IF(A30="","",IF(ISNUMBER(I30),IF(I30&gt;=16,"Critical",IF(I30&gt;=10,"High",IF(I30&gt;=5,"Medium","Low"))),"Not assessed"))</x:f>
        <x:v>High</x:v>
      </x:c>
      <x:c r="K30" s="128" t="str">
        <x:v>Native local logging</x:v>
      </x:c>
      <x:c r="L30" s="128" t="str">
        <x:v>Ineffective</x:v>
      </x:c>
      <x:c r="M30" s="128" t="n">
        <x:v>3</x:v>
      </x:c>
      <x:c r="N30" s="128" t="n">
        <x:v>4</x:v>
      </x:c>
      <x:c r="O30" s="138" t="n">
        <x:f>IF(A30="","",IF(COUNT(M30,N30)&lt;&gt;2,"",IF(AND(M30&gt;=1,M30&lt;=5,N30&gt;=1,N30&lt;=5,MOD(M30,1)=0,MOD(N30,1)=0),M30*N30,"")))</x:f>
        <x:v>12</x:v>
      </x:c>
      <x:c r="P30" s="138" t="str">
        <x:f>IF(A30="","",IF(ISNUMBER(O30),IF(O30&gt;=16,"Critical",IF(O30&gt;=10,"High",IF(O30&gt;=5,"Medium","Low"))),"Not assessed"))</x:f>
        <x:v>High</x:v>
      </x:c>
      <x:c r="Q30" s="128" t="str">
        <x:v>Mitigate</x:v>
      </x:c>
      <x:c r="R30" s="128" t="str">
        <x:v>Forward critical logs to protected centralized storage and restrict log administration.</x:v>
      </x:c>
      <x:c r="S30" s="128" t="str">
        <x:v>Security Manager</x:v>
      </x:c>
      <x:c r="T30" s="128" t="str">
        <x:v>Planned</x:v>
      </x:c>
      <x:c r="U30" s="130" t="n">
        <x:v>46332</x:v>
      </x:c>
      <x:c r="V30" s="128" t="str">
        <x:v>Detect</x:v>
      </x:c>
      <x:c r="W30" s="128" t="str">
        <x:v>CIS 8</x:v>
      </x:c>
      <x:c r="X30" s="128" t="str">
        <x:v>Fictional scenario. Evidence listed at right has not been collected; completion test is proposed.</x:v>
      </x:c>
      <x:c r="Y30" s="128" t="str">
        <x:v>An attacker with local rights could remove investigation records (3 by 4). Native local logging provides no independent protected copy, so it receives no reduction for this specific event.</x:v>
      </x:c>
      <x:c r="Z30" s="128" t="str">
        <x:v>Scenario only</x:v>
      </x:c>
      <x:c r="AA30" s="128" t="str">
        <x:v>Log forwarding configuration, storage permissions, retention/immutability settings and administrator audit logs.</x:v>
      </x:c>
      <x:c r="AB30" s="130" t="n">
        <x:v>46298</x:v>
      </x:c>
      <x:c r="AC30" s="128"/>
      <x:c r="AD30" s="138" t="str">
        <x:f>IF(COUNTA(A30:H30,K30:N30,Q30:AC30,AF30:AG30)=0,"",IF(A30="","Missing ID",IF(COUNTIF($A$5:$A$104,A30)&gt;1,"Duplicate ID",IF(OR(B30="",C30="",D30="",E30="",F30="",K30="",L30="",R30=""),"Missing assessment context",IF(OR(NOT(ISNUMBER(I30)),NOT(ISNUMBER(O30))),"Incomplete or invalid scores",IF(OR(S30="",NOT(OR(T30="Open",T30="Planned",T30="In Progress",T30="Closed",T30="Accepted"))),"Missing owner or invalid status",IF(NOT(ISNUMBER(U30)),"Missing or invalid target date",IF(U30&lt;=0,"Missing or invalid target date",IF(NOT(OR(Q30="Mitigate",Q30="Accept",Q30="Transfer",Q30="Avoid")),"Invalid treatment",IF(AND(T30="Accepted",Q30&lt;&gt;"Accept"),"Treatment/status conflict",IF(OR(M30&gt;G30,N30&gt;H30),"Review residual increase","OK")))))))))))</x:f>
        <x:v>OK</x:v>
      </x:c>
      <x:c r="AE30" s="138" t="str">
        <x:f>IF(A30="","",IF(OR(Y30="",NOT(OR(Z30="Scenario only",Z30="Evidence requested",Z30="Evidence reviewed")),AA30="",NOT(ISNUMBER(AB30)),AF30="",AG30=""),"Add assessment support",IF(OR(AB30&lt;=0,AB30&gt;Methodology!$B$25),"Review date outside period",IF(AND(OR(T30="Closed",T30="Accepted"),OR(AC30="",Z30&lt;&gt;"Evidence reviewed")),"Closure review needed",IF(OR(T30="Closed",T30="Accepted"),"Decision recorded",IF(Z30="Evidence reviewed","Evidence recorded","Scenario documented"))))))</x:f>
        <x:v>Scenario documented</x:v>
      </x:c>
      <x:c r="AF30" s="128" t="str">
        <x:v>GA-021, GA-024, GA-031</x:v>
      </x:c>
      <x:c r="AG30" s="128" t="str">
        <x:v>Confirm critical events survive deletion of a test local copy and unauthorized users cannot alter centrally retained records.</x:v>
      </x:c>
    </x:row>
    <x:row r="31" ht="92" customHeight="1">
      <x:c r="A31" s="128" t="str">
        <x:v>R-027</x:v>
      </x:c>
      <x:c r="B31" s="128" t="str">
        <x:v>Identity &amp; Access</x:v>
      </x:c>
      <x:c r="C31" s="128" t="str">
        <x:v>Business applications</x:v>
      </x:c>
      <x:c r="D31" s="128" t="str">
        <x:v>Password reuse on applications outside SSO could increase account-compromise risk.</x:v>
      </x:c>
      <x:c r="E31" s="128" t="str">
        <x:v>Credential stuffing</x:v>
      </x:c>
      <x:c r="F31" s="128" t="str">
        <x:v>Authentication standards are inconsistent across smaller SaaS services</x:v>
      </x:c>
      <x:c r="G31" s="128" t="n">
        <x:v>3</x:v>
      </x:c>
      <x:c r="H31" s="128" t="n">
        <x:v>4</x:v>
      </x:c>
      <x:c r="I31" s="138" t="n">
        <x:f>IF(A31="","",IF(COUNT(G31,H31)&lt;&gt;2,"",IF(AND(G31&gt;=1,G31&lt;=5,H31&gt;=1,H31&lt;=5,MOD(G31,1)=0,MOD(H31,1)=0),G31*H31,"")))</x:f>
        <x:v>12</x:v>
      </x:c>
      <x:c r="J31" s="138" t="str">
        <x:f>IF(A31="","",IF(ISNUMBER(I31),IF(I31&gt;=16,"Critical",IF(I31&gt;=10,"High",IF(I31&gt;=5,"Medium","Low"))),"Not assessed"))</x:f>
        <x:v>High</x:v>
      </x:c>
      <x:c r="K31" s="128" t="str">
        <x:v>Primary identity password policy</x:v>
      </x:c>
      <x:c r="L31" s="128" t="str">
        <x:v>Partially Effective</x:v>
      </x:c>
      <x:c r="M31" s="128" t="n">
        <x:v>3</x:v>
      </x:c>
      <x:c r="N31" s="128" t="n">
        <x:v>4</x:v>
      </x:c>
      <x:c r="O31" s="138" t="n">
        <x:f>IF(A31="","",IF(COUNT(M31,N31)&lt;&gt;2,"",IF(AND(M31&gt;=1,M31&lt;=5,N31&gt;=1,N31&lt;=5,MOD(M31,1)=0,MOD(N31,1)=0),M31*N31,"")))</x:f>
        <x:v>12</x:v>
      </x:c>
      <x:c r="P31" s="138" t="str">
        <x:f>IF(A31="","",IF(ISNUMBER(O31),IF(O31&gt;=16,"Critical",IF(O31&gt;=10,"High",IF(O31&gt;=5,"Medium","Low"))),"Not assessed"))</x:f>
        <x:v>High</x:v>
      </x:c>
      <x:c r="Q31" s="128" t="str">
        <x:v>Mitigate</x:v>
      </x:c>
      <x:c r="R31" s="128" t="str">
        <x:v>Expand SSO/MFA coverage and provide an approved password manager.</x:v>
      </x:c>
      <x:c r="S31" s="128" t="str">
        <x:v>IT Manager</x:v>
      </x:c>
      <x:c r="T31" s="128" t="str">
        <x:v>Planned</x:v>
      </x:c>
      <x:c r="U31" s="130" t="n">
        <x:v>46452</x:v>
      </x:c>
      <x:c r="V31" s="128" t="str">
        <x:v>Protect</x:v>
      </x:c>
      <x:c r="W31" s="128" t="str">
        <x:v>CIS 5, 6, 14</x:v>
      </x:c>
      <x:c r="X31" s="128" t="str">
        <x:v>Fictional scenario. Evidence listed at right has not been collected; completion test is proposed.</x:v>
      </x:c>
      <x:c r="Y31" s="128" t="str">
        <x:v>A primary identity policy does not protect SaaS accounts outside its coverage. Credential stuffing remains possible (3) with major impact (4). No approved acceptance or effective compensating control is documented.</x:v>
      </x:c>
      <x:c r="Z31" s="128" t="str">
        <x:v>Scenario only</x:v>
      </x:c>
      <x:c r="AA31" s="128" t="str">
        <x:v>Non-SSO application list, MFA configuration, password-manager deployment and authentication exceptions.</x:v>
      </x:c>
      <x:c r="AB31" s="130" t="n">
        <x:v>46298</x:v>
      </x:c>
      <x:c r="AC31" s="128"/>
      <x:c r="AD31" s="138" t="str">
        <x:f>IF(COUNTA(A31:H31,K31:N31,Q31:AC31,AF31:AG31)=0,"",IF(A31="","Missing ID",IF(COUNTIF($A$5:$A$104,A31)&gt;1,"Duplicate ID",IF(OR(B31="",C31="",D31="",E31="",F31="",K31="",L31="",R31=""),"Missing assessment context",IF(OR(NOT(ISNUMBER(I31)),NOT(ISNUMBER(O31))),"Incomplete or invalid scores",IF(OR(S31="",NOT(OR(T31="Open",T31="Planned",T31="In Progress",T31="Closed",T31="Accepted"))),"Missing owner or invalid status",IF(NOT(ISNUMBER(U31)),"Missing or invalid target date",IF(U31&lt;=0,"Missing or invalid target date",IF(NOT(OR(Q31="Mitigate",Q31="Accept",Q31="Transfer",Q31="Avoid")),"Invalid treatment",IF(AND(T31="Accepted",Q31&lt;&gt;"Accept"),"Treatment/status conflict",IF(OR(M31&gt;G31,N31&gt;H31),"Review residual increase","OK")))))))))))</x:f>
        <x:v>OK</x:v>
      </x:c>
      <x:c r="AE31" s="138" t="str">
        <x:f>IF(A31="","",IF(OR(Y31="",NOT(OR(Z31="Scenario only",Z31="Evidence requested",Z31="Evidence reviewed")),AA31="",NOT(ISNUMBER(AB31)),AF31="",AG31=""),"Add assessment support",IF(OR(AB31&lt;=0,AB31&gt;Methodology!$B$25),"Review date outside period",IF(AND(OR(T31="Closed",T31="Accepted"),OR(AC31="",Z31&lt;&gt;"Evidence reviewed")),"Closure review needed",IF(OR(T31="Closed",T31="Accepted"),"Decision recorded",IF(Z31="Evidence reviewed","Evidence recorded","Scenario documented"))))))</x:f>
        <x:v>Scenario documented</x:v>
      </x:c>
      <x:c r="AF31" s="128" t="str">
        <x:v>GA-012, GA-013, GA-014</x:v>
      </x:c>
      <x:c r="AG31" s="128" t="str">
        <x:v>Enforce SSO/MFA where supported; review remaining exceptions and test account recovery without weakening authentication.</x:v>
      </x:c>
    </x:row>
    <x:row r="32" ht="92" customHeight="1">
      <x:c r="A32" s="128" t="str">
        <x:v>R-028</x:v>
      </x:c>
      <x:c r="B32" s="128" t="str">
        <x:v>Third-Party Risk</x:v>
      </x:c>
      <x:c r="C32" s="128" t="str">
        <x:v>Production suppliers</x:v>
      </x:c>
      <x:c r="D32" s="128" t="str">
        <x:v>A supplier compromise could introduce malicious software or unauthorized privileged access into production.</x:v>
      </x:c>
      <x:c r="E32" s="128" t="str">
        <x:v>Supply-chain attack</x:v>
      </x:c>
      <x:c r="F32" s="128" t="str">
        <x:v>Supplier access and software provenance controls are incomplete</x:v>
      </x:c>
      <x:c r="G32" s="128" t="n">
        <x:v>3</x:v>
      </x:c>
      <x:c r="H32" s="128" t="n">
        <x:v>5</x:v>
      </x:c>
      <x:c r="I32" s="138" t="n">
        <x:f>IF(A32="","",IF(COUNT(G32,H32)&lt;&gt;2,"",IF(AND(G32&gt;=1,G32&lt;=5,H32&gt;=1,H32&lt;=5,MOD(G32,1)=0,MOD(H32,1)=0),G32*H32,"")))</x:f>
        <x:v>15</x:v>
      </x:c>
      <x:c r="J32" s="138" t="str">
        <x:f>IF(A32="","",IF(ISNUMBER(I32),IF(I32&gt;=16,"Critical",IF(I32&gt;=10,"High",IF(I32&gt;=5,"Medium","Low"))),"Not assessed"))</x:f>
        <x:v>High</x:v>
      </x:c>
      <x:c r="K32" s="128" t="str">
        <x:v>Contracts; access logging</x:v>
      </x:c>
      <x:c r="L32" s="128" t="str">
        <x:v>Partially Effective</x:v>
      </x:c>
      <x:c r="M32" s="128" t="n">
        <x:v>3</x:v>
      </x:c>
      <x:c r="N32" s="128" t="n">
        <x:v>5</x:v>
      </x:c>
      <x:c r="O32" s="138" t="n">
        <x:f>IF(A32="","",IF(COUNT(M32,N32)&lt;&gt;2,"",IF(AND(M32&gt;=1,M32&lt;=5,N32&gt;=1,N32&lt;=5,MOD(M32,1)=0,MOD(N32,1)=0),M32*N32,"")))</x:f>
        <x:v>15</x:v>
      </x:c>
      <x:c r="P32" s="138" t="str">
        <x:f>IF(A32="","",IF(ISNUMBER(O32),IF(O32&gt;=16,"Critical",IF(O32&gt;=10,"High",IF(O32&gt;=5,"Medium","Low"))),"Not assessed"))</x:f>
        <x:v>High</x:v>
      </x:c>
      <x:c r="Q32" s="128" t="str">
        <x:v>Mitigate</x:v>
      </x:c>
      <x:c r="R32" s="128" t="str">
        <x:v>Limit vendor access, monitor privileged vendor activity, and validate software sources.</x:v>
      </x:c>
      <x:c r="S32" s="128" t="str">
        <x:v>Vendor Manager</x:v>
      </x:c>
      <x:c r="T32" s="128" t="str">
        <x:v>Planned</x:v>
      </x:c>
      <x:c r="U32" s="130" t="n">
        <x:v>46362</x:v>
      </x:c>
      <x:c r="V32" s="128" t="str">
        <x:v>Govern / Identify / Protect</x:v>
      </x:c>
      <x:c r="W32" s="128" t="str">
        <x:v>CIS 15, 16</x:v>
      </x:c>
      <x:c r="X32" s="128" t="str">
        <x:v>Fictional scenario. Evidence listed at right has not been collected; completion test is proposed.</x:v>
      </x:c>
      <x:c r="Y32" s="128" t="str">
        <x:v>Supplier access or an untrusted software update could reach production (3 by 5). Contracts and logs do not themselves restrict access or validate provenance. The estimate stays unchanged until those controls are demonstrated.</x:v>
      </x:c>
      <x:c r="Z32" s="128" t="str">
        <x:v>Scenario only</x:v>
      </x:c>
      <x:c r="AA32" s="128" t="str">
        <x:v>Vendor privileged access, access windows, activity logs, approved package sources and integrity verification.</x:v>
      </x:c>
      <x:c r="AB32" s="130" t="n">
        <x:v>46298</x:v>
      </x:c>
      <x:c r="AC32" s="128"/>
      <x:c r="AD32" s="138" t="str">
        <x:f>IF(COUNTA(A32:H32,K32:N32,Q32:AC32,AF32:AG32)=0,"",IF(A32="","Missing ID",IF(COUNTIF($A$5:$A$104,A32)&gt;1,"Duplicate ID",IF(OR(B32="",C32="",D32="",E32="",F32="",K32="",L32="",R32=""),"Missing assessment context",IF(OR(NOT(ISNUMBER(I32)),NOT(ISNUMBER(O32))),"Incomplete or invalid scores",IF(OR(S32="",NOT(OR(T32="Open",T32="Planned",T32="In Progress",T32="Closed",T32="Accepted"))),"Missing owner or invalid status",IF(NOT(ISNUMBER(U32)),"Missing or invalid target date",IF(U32&lt;=0,"Missing or invalid target date",IF(NOT(OR(Q32="Mitigate",Q32="Accept",Q32="Transfer",Q32="Avoid")),"Invalid treatment",IF(AND(T32="Accepted",Q32&lt;&gt;"Accept"),"Treatment/status conflict",IF(OR(M32&gt;G32,N32&gt;H32),"Review residual increase","OK")))))))))))</x:f>
        <x:v>OK</x:v>
      </x:c>
      <x:c r="AE32" s="138" t="str">
        <x:f>IF(A32="","",IF(OR(Y32="",NOT(OR(Z32="Scenario only",Z32="Evidence requested",Z32="Evidence reviewed")),AA32="",NOT(ISNUMBER(AB32)),AF32="",AG32=""),"Add assessment support",IF(OR(AB32&lt;=0,AB32&gt;Methodology!$B$25),"Review date outside period",IF(AND(OR(T32="Closed",T32="Accepted"),OR(AC32="",Z32&lt;&gt;"Evidence reviewed")),"Closure review needed",IF(OR(T32="Closed",T32="Accepted"),"Decision recorded",IF(Z32="Evidence reviewed","Evidence recorded","Scenario documented"))))))</x:f>
        <x:v>Scenario documented</x:v>
      </x:c>
      <x:c r="AF32" s="128" t="str">
        <x:v>GA-006, GA-018, GA-022</x:v>
      </x:c>
      <x:c r="AG32" s="128" t="str">
        <x:v>Test vendor access expiration and least privilege; verify production software originates from approved sources with integrity checks.</x:v>
      </x:c>
    </x:row>
    <x:row r="33" ht="92" customHeight="1">
      <x:c r="A33" s="128" t="str">
        <x:v>R-029</x:v>
      </x:c>
      <x:c r="B33" s="128" t="str">
        <x:v>Business Continuity</x:v>
      </x:c>
      <x:c r="C33" s="128" t="str">
        <x:v>Microsoft 365</x:v>
      </x:c>
      <x:c r="D33" s="128" t="str">
        <x:v>A SaaS outage could temporarily interrupt email and collaboration.</x:v>
      </x:c>
      <x:c r="E33" s="128" t="str">
        <x:v>Service outage</x:v>
      </x:c>
      <x:c r="F33" s="128" t="str">
        <x:v>Limited alternate communication procedures</x:v>
      </x:c>
      <x:c r="G33" s="128" t="n">
        <x:v>2</x:v>
      </x:c>
      <x:c r="H33" s="128" t="n">
        <x:v>4</x:v>
      </x:c>
      <x:c r="I33" s="138" t="n">
        <x:f>IF(A33="","",IF(COUNT(G33,H33)&lt;&gt;2,"",IF(AND(G33&gt;=1,G33&lt;=5,H33&gt;=1,H33&lt;=5,MOD(G33,1)=0,MOD(H33,1)=0),G33*H33,"")))</x:f>
        <x:v>8</x:v>
      </x:c>
      <x:c r="J33" s="138" t="str">
        <x:f>IF(A33="","",IF(ISNUMBER(I33),IF(I33&gt;=16,"Critical",IF(I33&gt;=10,"High",IF(I33&gt;=5,"Medium","Low"))),"Not assessed"))</x:f>
        <x:v>Medium</x:v>
      </x:c>
      <x:c r="K33" s="128" t="str">
        <x:v>Provider availability; mobile communications</x:v>
      </x:c>
      <x:c r="L33" s="128" t="str">
        <x:v>Partially Effective</x:v>
      </x:c>
      <x:c r="M33" s="128" t="n">
        <x:v>1</x:v>
      </x:c>
      <x:c r="N33" s="128" t="n">
        <x:v>3</x:v>
      </x:c>
      <x:c r="O33" s="138" t="n">
        <x:f>IF(A33="","",IF(COUNT(M33,N33)&lt;&gt;2,"",IF(AND(M33&gt;=1,M33&lt;=5,N33&gt;=1,N33&lt;=5,MOD(M33,1)=0,MOD(N33,1)=0),M33*N33,"")))</x:f>
        <x:v>3</x:v>
      </x:c>
      <x:c r="P33" s="138" t="str">
        <x:f>IF(A33="","",IF(ISNUMBER(O33),IF(O33&gt;=16,"Critical",IF(O33&gt;=10,"High",IF(O33&gt;=5,"Medium","Low"))),"Not assessed"))</x:f>
        <x:v>Low</x:v>
      </x:c>
      <x:c r="Q33" s="128" t="str">
        <x:v>Accept</x:v>
      </x:c>
      <x:c r="R33" s="128" t="str">
        <x:v>Test alternate communications and seek a documented, time-limited risk acceptance from the authorized owner.</x:v>
      </x:c>
      <x:c r="S33" s="128" t="str">
        <x:v>Operations Manager</x:v>
      </x:c>
      <x:c r="T33" s="128" t="str">
        <x:v>Open</x:v>
      </x:c>
      <x:c r="U33" s="130" t="n">
        <x:v>46452</x:v>
      </x:c>
      <x:c r="V33" s="128" t="str">
        <x:v>Recover</x:v>
      </x:c>
      <x:c r="W33" s="128" t="str">
        <x:v>CIS 11</x:v>
      </x:c>
      <x:c r="X33" s="128" t="str">
        <x:v>Fictional scenario. Evidence listed at right has not been collected; completion test is proposed.</x:v>
      </x:c>
      <x:c r="Y33" s="128" t="str">
        <x:v>Provider availability reduces a collaboration outage from unlikely (2) to rare (1). Mobile communications provide an alternate path and reduce impact from major (4) to moderate (3). This supports proposing acceptance, not claiming approval.</x:v>
      </x:c>
      <x:c r="Z33" s="128" t="str">
        <x:v>Scenario only</x:v>
      </x:c>
      <x:c r="AA33" s="128" t="str">
        <x:v>Service dependency list, alternate contact channels, outage procedure and risk-owner acceptance record.</x:v>
      </x:c>
      <x:c r="AB33" s="130" t="n">
        <x:v>46298</x:v>
      </x:c>
      <x:c r="AC33" s="128"/>
      <x:c r="AD33" s="138" t="str">
        <x:f>IF(COUNTA(A33:H33,K33:N33,Q33:AC33,AF33:AG33)=0,"",IF(A33="","Missing ID",IF(COUNTIF($A$5:$A$104,A33)&gt;1,"Duplicate ID",IF(OR(B33="",C33="",D33="",E33="",F33="",K33="",L33="",R33=""),"Missing assessment context",IF(OR(NOT(ISNUMBER(I33)),NOT(ISNUMBER(O33))),"Incomplete or invalid scores",IF(OR(S33="",NOT(OR(T33="Open",T33="Planned",T33="In Progress",T33="Closed",T33="Accepted"))),"Missing owner or invalid status",IF(NOT(ISNUMBER(U33)),"Missing or invalid target date",IF(U33&lt;=0,"Missing or invalid target date",IF(NOT(OR(Q33="Mitigate",Q33="Accept",Q33="Transfer",Q33="Avoid")),"Invalid treatment",IF(AND(T33="Accepted",Q33&lt;&gt;"Accept"),"Treatment/status conflict",IF(OR(M33&gt;G33,N33&gt;H33),"Review residual increase","OK")))))))))))</x:f>
        <x:v>OK</x:v>
      </x:c>
      <x:c r="AE33" s="138" t="str">
        <x:f>IF(A33="","",IF(OR(Y33="",NOT(OR(Z33="Scenario only",Z33="Evidence requested",Z33="Evidence reviewed")),AA33="",NOT(ISNUMBER(AB33)),AF33="",AG33=""),"Add assessment support",IF(OR(AB33&lt;=0,AB33&gt;Methodology!$B$25),"Review date outside period",IF(AND(OR(T33="Closed",T33="Accepted"),OR(AC33="",Z33&lt;&gt;"Evidence reviewed")),"Closure review needed",IF(OR(T33="Closed",T33="Accepted"),"Decision recorded",IF(Z33="Evidence reviewed","Evidence recorded","Scenario documented"))))))</x:f>
        <x:v>Scenario documented</x:v>
      </x:c>
      <x:c r="AF33" s="128" t="str">
        <x:v>GA-029, GA-030</x:v>
      </x:c>
      <x:c r="AG33" s="128" t="str">
        <x:v>Test the alternate communication method; obtain an authorized, dated acceptance with a review date and conditions for reopening.</x:v>
      </x:c>
    </x:row>
    <x:row r="34" ht="92" customHeight="1">
      <x:c r="A34" s="128" t="str">
        <x:v>R-030</x:v>
      </x:c>
      <x:c r="B34" s="128" t="str">
        <x:v>Governance &amp; Compliance</x:v>
      </x:c>
      <x:c r="C34" s="128" t="str">
        <x:v>Security exceptions</x:v>
      </x:c>
      <x:c r="D34" s="128" t="str">
        <x:v>Security exceptions could remain open indefinitely without documented owners, compensating controls, or expiration dates.</x:v>
      </x:c>
      <x:c r="E34" s="128" t="str">
        <x:v>Governance failure</x:v>
      </x:c>
      <x:c r="F34" s="128" t="str">
        <x:v>No central exception register</x:v>
      </x:c>
      <x:c r="G34" s="128" t="n">
        <x:v>3</x:v>
      </x:c>
      <x:c r="H34" s="128" t="n">
        <x:v>4</x:v>
      </x:c>
      <x:c r="I34" s="138" t="n">
        <x:f>IF(A34="","",IF(COUNT(G34,H34)&lt;&gt;2,"",IF(AND(G34&gt;=1,G34&lt;=5,H34&gt;=1,H34&lt;=5,MOD(G34,1)=0,MOD(H34,1)=0),G34*H34,"")))</x:f>
        <x:v>12</x:v>
      </x:c>
      <x:c r="J34" s="138" t="str">
        <x:f>IF(A34="","",IF(ISNUMBER(I34),IF(I34&gt;=16,"Critical",IF(I34&gt;=10,"High",IF(I34&gt;=5,"Medium","Low"))),"Not assessed"))</x:f>
        <x:v>High</x:v>
      </x:c>
      <x:c r="K34" s="128" t="str">
        <x:v>Manager approvals by email</x:v>
      </x:c>
      <x:c r="L34" s="128" t="str">
        <x:v>Ineffective</x:v>
      </x:c>
      <x:c r="M34" s="128" t="n">
        <x:v>3</x:v>
      </x:c>
      <x:c r="N34" s="128" t="n">
        <x:v>4</x:v>
      </x:c>
      <x:c r="O34" s="138" t="n">
        <x:f>IF(A34="","",IF(COUNT(M34,N34)&lt;&gt;2,"",IF(AND(M34&gt;=1,M34&lt;=5,N34&gt;=1,N34&lt;=5,MOD(M34,1)=0,MOD(N34,1)=0),M34*N34,"")))</x:f>
        <x:v>12</x:v>
      </x:c>
      <x:c r="P34" s="138" t="str">
        <x:f>IF(A34="","",IF(ISNUMBER(O34),IF(O34&gt;=16,"Critical",IF(O34&gt;=10,"High",IF(O34&gt;=5,"Medium","Low"))),"Not assessed"))</x:f>
        <x:v>High</x:v>
      </x:c>
      <x:c r="Q34" s="128" t="str">
        <x:v>Mitigate</x:v>
      </x:c>
      <x:c r="R34" s="128" t="str">
        <x:v>Create an exception register with owner, justification, compensating control, approval, and expiration.</x:v>
      </x:c>
      <x:c r="S34" s="128" t="str">
        <x:v>Compliance Manager</x:v>
      </x:c>
      <x:c r="T34" s="128" t="str">
        <x:v>Open</x:v>
      </x:c>
      <x:c r="U34" s="130" t="n">
        <x:v>46332</x:v>
      </x:c>
      <x:c r="V34" s="128" t="str">
        <x:v>Govern</x:v>
      </x:c>
      <x:c r="W34" s="128" t="str">
        <x:v>No direct control mapping; see NIST Govern</x:v>
      </x:c>
      <x:c r="X34" s="128" t="str">
        <x:v>Fictional scenario. Evidence listed at right has not been collected; completion test is proposed.</x:v>
      </x:c>
      <x:c r="Y34" s="128" t="str">
        <x:v>Exceptions without a register can outlive their justification (3 by 4). Email approvals do not enforce ownership, compensating controls or expiry. No reduction is credited.</x:v>
      </x:c>
      <x:c r="Z34" s="128" t="str">
        <x:v>Scenario only</x:v>
      </x:c>
      <x:c r="AA34" s="128" t="str">
        <x:v>Exception requests, approval emails, assigned owners, compensating controls and expiration dates.</x:v>
      </x:c>
      <x:c r="AB34" s="130" t="n">
        <x:v>46298</x:v>
      </x:c>
      <x:c r="AC34" s="128"/>
      <x:c r="AD34" s="138" t="str">
        <x:f>IF(COUNTA(A34:H34,K34:N34,Q34:AC34,AF34:AG34)=0,"",IF(A34="","Missing ID",IF(COUNTIF($A$5:$A$104,A34)&gt;1,"Duplicate ID",IF(OR(B34="",C34="",D34="",E34="",F34="",K34="",L34="",R34=""),"Missing assessment context",IF(OR(NOT(ISNUMBER(I34)),NOT(ISNUMBER(O34))),"Incomplete or invalid scores",IF(OR(S34="",NOT(OR(T34="Open",T34="Planned",T34="In Progress",T34="Closed",T34="Accepted"))),"Missing owner or invalid status",IF(NOT(ISNUMBER(U34)),"Missing or invalid target date",IF(U34&lt;=0,"Missing or invalid target date",IF(NOT(OR(Q34="Mitigate",Q34="Accept",Q34="Transfer",Q34="Avoid")),"Invalid treatment",IF(AND(T34="Accepted",Q34&lt;&gt;"Accept"),"Treatment/status conflict",IF(OR(M34&gt;G34,N34&gt;H34),"Review residual increase","OK")))))))))))</x:f>
        <x:v>OK</x:v>
      </x:c>
      <x:c r="AE34" s="138" t="str">
        <x:f>IF(A34="","",IF(OR(Y34="",NOT(OR(Z34="Scenario only",Z34="Evidence requested",Z34="Evidence reviewed")),AA34="",NOT(ISNUMBER(AB34)),AF34="",AG34=""),"Add assessment support",IF(OR(AB34&lt;=0,AB34&gt;Methodology!$B$25),"Review date outside period",IF(AND(OR(T34="Closed",T34="Accepted"),OR(AC34="",Z34&lt;&gt;"Evidence reviewed")),"Closure review needed",IF(OR(T34="Closed",T34="Accepted"),"Decision recorded",IF(Z34="Evidence reviewed","Evidence recorded","Scenario documented"))))))</x:f>
        <x:v>Scenario documented</x:v>
      </x:c>
      <x:c r="AF34" s="128" t="str">
        <x:v>GA-002, GA-004, GA-005</x:v>
      </x:c>
      <x:c r="AG34" s="128" t="str">
        <x:v>Create the exception register and trace each active exception to an owner, approval, review date and compensating-control test.</x:v>
      </x:c>
    </x:row>
    <x:row r="35" ht="92" customHeight="1">
      <x:c r="A35" s="128"/>
      <x:c r="B35" s="128"/>
      <x:c r="C35" s="128"/>
      <x:c r="D35" s="128"/>
      <x:c r="E35" s="128"/>
      <x:c r="F35" s="128"/>
      <x:c r="G35" s="128"/>
      <x:c r="H35" s="128"/>
      <x:c r="I35" s="138" t="str">
        <x:f>IF(A35="","",IF(COUNT(G35,H35)&lt;&gt;2,"",IF(AND(G35&gt;=1,G35&lt;=5,H35&gt;=1,H35&lt;=5,MOD(G35,1)=0,MOD(H35,1)=0),G35*H35,"")))</x:f>
      </x:c>
      <x:c r="J35" s="138" t="str">
        <x:f>IF(A35="","",IF(ISNUMBER(I35),IF(I35&gt;=16,"Critical",IF(I35&gt;=10,"High",IF(I35&gt;=5,"Medium","Low"))),"Not assessed"))</x:f>
      </x:c>
      <x:c r="K35" s="128"/>
      <x:c r="L35" s="128"/>
      <x:c r="M35" s="128"/>
      <x:c r="N35" s="128"/>
      <x:c r="O35" s="138" t="str">
        <x:f>IF(A35="","",IF(COUNT(M35,N35)&lt;&gt;2,"",IF(AND(M35&gt;=1,M35&lt;=5,N35&gt;=1,N35&lt;=5,MOD(M35,1)=0,MOD(N35,1)=0),M35*N35,"")))</x:f>
      </x:c>
      <x:c r="P35" s="138" t="str">
        <x:f>IF(A35="","",IF(ISNUMBER(O35),IF(O35&gt;=16,"Critical",IF(O35&gt;=10,"High",IF(O35&gt;=5,"Medium","Low"))),"Not assessed"))</x:f>
      </x:c>
      <x:c r="Q35" s="128"/>
      <x:c r="R35" s="128"/>
      <x:c r="S35" s="128"/>
      <x:c r="T35" s="128"/>
      <x:c r="U35" s="130"/>
      <x:c r="V35" s="128"/>
      <x:c r="W35" s="128"/>
      <x:c r="X35" s="128"/>
      <x:c r="Y35" s="128"/>
      <x:c r="Z35" s="128"/>
      <x:c r="AA35" s="128"/>
      <x:c r="AB35" s="130"/>
      <x:c r="AC35" s="128"/>
      <x:c r="AD35" s="138" t="str">
        <x:f>IF(COUNTA(A35:H35,K35:N35,Q35:AC35,AF35:AG35)=0,"",IF(A35="","Missing ID",IF(COUNTIF($A$5:$A$104,A35)&gt;1,"Duplicate ID",IF(OR(B35="",C35="",D35="",E35="",F35="",K35="",L35="",R35=""),"Missing assessment context",IF(OR(NOT(ISNUMBER(I35)),NOT(ISNUMBER(O35))),"Incomplete or invalid scores",IF(OR(S35="",NOT(OR(T35="Open",T35="Planned",T35="In Progress",T35="Closed",T35="Accepted"))),"Missing owner or invalid status",IF(NOT(ISNUMBER(U35)),"Missing or invalid target date",IF(U35&lt;=0,"Missing or invalid target date",IF(NOT(OR(Q35="Mitigate",Q35="Accept",Q35="Transfer",Q35="Avoid")),"Invalid treatment",IF(AND(T35="Accepted",Q35&lt;&gt;"Accept"),"Treatment/status conflict",IF(OR(M35&gt;G35,N35&gt;H35),"Review residual increase","OK")))))))))))</x:f>
      </x:c>
      <x:c r="AE35" s="138" t="str">
        <x:f>IF(A35="","",IF(OR(Y35="",NOT(OR(Z35="Scenario only",Z35="Evidence requested",Z35="Evidence reviewed")),AA35="",NOT(ISNUMBER(AB35)),AF35="",AG35=""),"Add assessment support",IF(OR(AB35&lt;=0,AB35&gt;Methodology!$B$25),"Review date outside period",IF(AND(OR(T35="Closed",T35="Accepted"),OR(AC35="",Z35&lt;&gt;"Evidence reviewed")),"Closure review needed",IF(OR(T35="Closed",T35="Accepted"),"Decision recorded",IF(Z35="Evidence reviewed","Evidence recorded","Scenario documented"))))))</x:f>
      </x:c>
      <x:c r="AF35" s="128"/>
      <x:c r="AG35" s="128"/>
    </x:row>
    <x:row r="36" ht="40" customHeight="1">
      <x:c r="A36" s="128"/>
      <x:c r="B36" s="128"/>
      <x:c r="C36" s="128"/>
      <x:c r="D36" s="128"/>
      <x:c r="E36" s="128"/>
      <x:c r="F36" s="128"/>
      <x:c r="G36" s="128"/>
      <x:c r="H36" s="128"/>
      <x:c r="I36" s="138" t="str">
        <x:f>IF(A36="","",IF(COUNT(G36,H36)&lt;&gt;2,"",IF(AND(G36&gt;=1,G36&lt;=5,H36&gt;=1,H36&lt;=5,MOD(G36,1)=0,MOD(H36,1)=0),G36*H36,"")))</x:f>
      </x:c>
      <x:c r="J36" s="138" t="str">
        <x:f>IF(A36="","",IF(ISNUMBER(I36),IF(I36&gt;=16,"Critical",IF(I36&gt;=10,"High",IF(I36&gt;=5,"Medium","Low"))),"Not assessed"))</x:f>
      </x:c>
      <x:c r="K36" s="128"/>
      <x:c r="L36" s="128"/>
      <x:c r="M36" s="128"/>
      <x:c r="N36" s="128"/>
      <x:c r="O36" s="138" t="str">
        <x:f>IF(A36="","",IF(COUNT(M36,N36)&lt;&gt;2,"",IF(AND(M36&gt;=1,M36&lt;=5,N36&gt;=1,N36&lt;=5,MOD(M36,1)=0,MOD(N36,1)=0),M36*N36,"")))</x:f>
      </x:c>
      <x:c r="P36" s="138" t="str">
        <x:f>IF(A36="","",IF(ISNUMBER(O36),IF(O36&gt;=16,"Critical",IF(O36&gt;=10,"High",IF(O36&gt;=5,"Medium","Low"))),"Not assessed"))</x:f>
      </x:c>
      <x:c r="Q36" s="128"/>
      <x:c r="R36" s="128"/>
      <x:c r="S36" s="128"/>
      <x:c r="T36" s="128"/>
      <x:c r="U36" s="130"/>
      <x:c r="V36" s="128"/>
      <x:c r="W36" s="128"/>
      <x:c r="X36" s="128"/>
      <x:c r="Y36" s="128"/>
      <x:c r="Z36" s="128"/>
      <x:c r="AA36" s="128"/>
      <x:c r="AB36" s="130"/>
      <x:c r="AC36" s="128"/>
      <x:c r="AD36" s="138" t="str">
        <x:f>IF(COUNTA(A36:H36,K36:N36,Q36:AC36,AF36:AG36)=0,"",IF(A36="","Missing ID",IF(COUNTIF($A$5:$A$104,A36)&gt;1,"Duplicate ID",IF(OR(B36="",C36="",D36="",E36="",F36="",K36="",L36="",R36=""),"Missing assessment context",IF(OR(NOT(ISNUMBER(I36)),NOT(ISNUMBER(O36))),"Incomplete or invalid scores",IF(OR(S36="",NOT(OR(T36="Open",T36="Planned",T36="In Progress",T36="Closed",T36="Accepted"))),"Missing owner or invalid status",IF(NOT(ISNUMBER(U36)),"Missing or invalid target date",IF(U36&lt;=0,"Missing or invalid target date",IF(NOT(OR(Q36="Mitigate",Q36="Accept",Q36="Transfer",Q36="Avoid")),"Invalid treatment",IF(AND(T36="Accepted",Q36&lt;&gt;"Accept"),"Treatment/status conflict",IF(OR(M36&gt;G36,N36&gt;H36),"Review residual increase","OK")))))))))))</x:f>
      </x:c>
      <x:c r="AE36" s="138" t="str">
        <x:f>IF(A36="","",IF(OR(Y36="",NOT(OR(Z36="Scenario only",Z36="Evidence requested",Z36="Evidence reviewed")),AA36="",NOT(ISNUMBER(AB36)),AF36="",AG36=""),"Add assessment support",IF(OR(AB36&lt;=0,AB36&gt;Methodology!$B$25),"Review date outside period",IF(AND(OR(T36="Closed",T36="Accepted"),OR(AC36="",Z36&lt;&gt;"Evidence reviewed")),"Closure review needed",IF(OR(T36="Closed",T36="Accepted"),"Decision recorded",IF(Z36="Evidence reviewed","Evidence recorded","Scenario documented"))))))</x:f>
      </x:c>
      <x:c r="AF36" s="128"/>
      <x:c r="AG36" s="128"/>
    </x:row>
    <x:row r="37" ht="40" customHeight="1">
      <x:c r="A37" s="128"/>
      <x:c r="B37" s="128"/>
      <x:c r="C37" s="128"/>
      <x:c r="D37" s="128"/>
      <x:c r="E37" s="128"/>
      <x:c r="F37" s="128"/>
      <x:c r="G37" s="128"/>
      <x:c r="H37" s="128"/>
      <x:c r="I37" s="138" t="str">
        <x:f>IF(A37="","",IF(COUNT(G37,H37)&lt;&gt;2,"",IF(AND(G37&gt;=1,G37&lt;=5,H37&gt;=1,H37&lt;=5,MOD(G37,1)=0,MOD(H37,1)=0),G37*H37,"")))</x:f>
      </x:c>
      <x:c r="J37" s="138" t="str">
        <x:f>IF(A37="","",IF(ISNUMBER(I37),IF(I37&gt;=16,"Critical",IF(I37&gt;=10,"High",IF(I37&gt;=5,"Medium","Low"))),"Not assessed"))</x:f>
      </x:c>
      <x:c r="K37" s="128"/>
      <x:c r="L37" s="128"/>
      <x:c r="M37" s="128"/>
      <x:c r="N37" s="128"/>
      <x:c r="O37" s="138" t="str">
        <x:f>IF(A37="","",IF(COUNT(M37,N37)&lt;&gt;2,"",IF(AND(M37&gt;=1,M37&lt;=5,N37&gt;=1,N37&lt;=5,MOD(M37,1)=0,MOD(N37,1)=0),M37*N37,"")))</x:f>
      </x:c>
      <x:c r="P37" s="138" t="str">
        <x:f>IF(A37="","",IF(ISNUMBER(O37),IF(O37&gt;=16,"Critical",IF(O37&gt;=10,"High",IF(O37&gt;=5,"Medium","Low"))),"Not assessed"))</x:f>
      </x:c>
      <x:c r="Q37" s="128"/>
      <x:c r="R37" s="128"/>
      <x:c r="S37" s="128"/>
      <x:c r="T37" s="128"/>
      <x:c r="U37" s="130"/>
      <x:c r="V37" s="128"/>
      <x:c r="W37" s="128"/>
      <x:c r="X37" s="128"/>
      <x:c r="Y37" s="128"/>
      <x:c r="Z37" s="128"/>
      <x:c r="AA37" s="128"/>
      <x:c r="AB37" s="130"/>
      <x:c r="AC37" s="128"/>
      <x:c r="AD37" s="138" t="str">
        <x:f>IF(COUNTA(A37:H37,K37:N37,Q37:AC37,AF37:AG37)=0,"",IF(A37="","Missing ID",IF(COUNTIF($A$5:$A$104,A37)&gt;1,"Duplicate ID",IF(OR(B37="",C37="",D37="",E37="",F37="",K37="",L37="",R37=""),"Missing assessment context",IF(OR(NOT(ISNUMBER(I37)),NOT(ISNUMBER(O37))),"Incomplete or invalid scores",IF(OR(S37="",NOT(OR(T37="Open",T37="Planned",T37="In Progress",T37="Closed",T37="Accepted"))),"Missing owner or invalid status",IF(NOT(ISNUMBER(U37)),"Missing or invalid target date",IF(U37&lt;=0,"Missing or invalid target date",IF(NOT(OR(Q37="Mitigate",Q37="Accept",Q37="Transfer",Q37="Avoid")),"Invalid treatment",IF(AND(T37="Accepted",Q37&lt;&gt;"Accept"),"Treatment/status conflict",IF(OR(M37&gt;G37,N37&gt;H37),"Review residual increase","OK")))))))))))</x:f>
      </x:c>
      <x:c r="AE37" s="138" t="str">
        <x:f>IF(A37="","",IF(OR(Y37="",NOT(OR(Z37="Scenario only",Z37="Evidence requested",Z37="Evidence reviewed")),AA37="",NOT(ISNUMBER(AB37)),AF37="",AG37=""),"Add assessment support",IF(OR(AB37&lt;=0,AB37&gt;Methodology!$B$25),"Review date outside period",IF(AND(OR(T37="Closed",T37="Accepted"),OR(AC37="",Z37&lt;&gt;"Evidence reviewed")),"Closure review needed",IF(OR(T37="Closed",T37="Accepted"),"Decision recorded",IF(Z37="Evidence reviewed","Evidence recorded","Scenario documented"))))))</x:f>
      </x:c>
      <x:c r="AF37" s="128"/>
      <x:c r="AG37" s="128"/>
    </x:row>
    <x:row r="38" ht="40" customHeight="1">
      <x:c r="A38" s="128"/>
      <x:c r="B38" s="128"/>
      <x:c r="C38" s="128"/>
      <x:c r="D38" s="128"/>
      <x:c r="E38" s="128"/>
      <x:c r="F38" s="128"/>
      <x:c r="G38" s="128"/>
      <x:c r="H38" s="128"/>
      <x:c r="I38" s="138" t="str">
        <x:f>IF(A38="","",IF(COUNT(G38,H38)&lt;&gt;2,"",IF(AND(G38&gt;=1,G38&lt;=5,H38&gt;=1,H38&lt;=5,MOD(G38,1)=0,MOD(H38,1)=0),G38*H38,"")))</x:f>
      </x:c>
      <x:c r="J38" s="138" t="str">
        <x:f>IF(A38="","",IF(ISNUMBER(I38),IF(I38&gt;=16,"Critical",IF(I38&gt;=10,"High",IF(I38&gt;=5,"Medium","Low"))),"Not assessed"))</x:f>
      </x:c>
      <x:c r="K38" s="128"/>
      <x:c r="L38" s="128"/>
      <x:c r="M38" s="128"/>
      <x:c r="N38" s="128"/>
      <x:c r="O38" s="138" t="str">
        <x:f>IF(A38="","",IF(COUNT(M38,N38)&lt;&gt;2,"",IF(AND(M38&gt;=1,M38&lt;=5,N38&gt;=1,N38&lt;=5,MOD(M38,1)=0,MOD(N38,1)=0),M38*N38,"")))</x:f>
      </x:c>
      <x:c r="P38" s="138" t="str">
        <x:f>IF(A38="","",IF(ISNUMBER(O38),IF(O38&gt;=16,"Critical",IF(O38&gt;=10,"High",IF(O38&gt;=5,"Medium","Low"))),"Not assessed"))</x:f>
      </x:c>
      <x:c r="Q38" s="128"/>
      <x:c r="R38" s="128"/>
      <x:c r="S38" s="128"/>
      <x:c r="T38" s="128"/>
      <x:c r="U38" s="130"/>
      <x:c r="V38" s="128"/>
      <x:c r="W38" s="128"/>
      <x:c r="X38" s="128"/>
      <x:c r="Y38" s="128"/>
      <x:c r="Z38" s="128"/>
      <x:c r="AA38" s="128"/>
      <x:c r="AB38" s="130"/>
      <x:c r="AC38" s="128"/>
      <x:c r="AD38" s="138" t="str">
        <x:f>IF(COUNTA(A38:H38,K38:N38,Q38:AC38,AF38:AG38)=0,"",IF(A38="","Missing ID",IF(COUNTIF($A$5:$A$104,A38)&gt;1,"Duplicate ID",IF(OR(B38="",C38="",D38="",E38="",F38="",K38="",L38="",R38=""),"Missing assessment context",IF(OR(NOT(ISNUMBER(I38)),NOT(ISNUMBER(O38))),"Incomplete or invalid scores",IF(OR(S38="",NOT(OR(T38="Open",T38="Planned",T38="In Progress",T38="Closed",T38="Accepted"))),"Missing owner or invalid status",IF(NOT(ISNUMBER(U38)),"Missing or invalid target date",IF(U38&lt;=0,"Missing or invalid target date",IF(NOT(OR(Q38="Mitigate",Q38="Accept",Q38="Transfer",Q38="Avoid")),"Invalid treatment",IF(AND(T38="Accepted",Q38&lt;&gt;"Accept"),"Treatment/status conflict",IF(OR(M38&gt;G38,N38&gt;H38),"Review residual increase","OK")))))))))))</x:f>
      </x:c>
      <x:c r="AE38" s="138" t="str">
        <x:f>IF(A38="","",IF(OR(Y38="",NOT(OR(Z38="Scenario only",Z38="Evidence requested",Z38="Evidence reviewed")),AA38="",NOT(ISNUMBER(AB38)),AF38="",AG38=""),"Add assessment support",IF(OR(AB38&lt;=0,AB38&gt;Methodology!$B$25),"Review date outside period",IF(AND(OR(T38="Closed",T38="Accepted"),OR(AC38="",Z38&lt;&gt;"Evidence reviewed")),"Closure review needed",IF(OR(T38="Closed",T38="Accepted"),"Decision recorded",IF(Z38="Evidence reviewed","Evidence recorded","Scenario documented"))))))</x:f>
      </x:c>
      <x:c r="AF38" s="128"/>
      <x:c r="AG38" s="128"/>
    </x:row>
    <x:row r="39" ht="40" customHeight="1">
      <x:c r="A39" s="128"/>
      <x:c r="B39" s="128"/>
      <x:c r="C39" s="128"/>
      <x:c r="D39" s="128"/>
      <x:c r="E39" s="128"/>
      <x:c r="F39" s="128"/>
      <x:c r="G39" s="128"/>
      <x:c r="H39" s="128"/>
      <x:c r="I39" s="138" t="str">
        <x:f>IF(A39="","",IF(COUNT(G39,H39)&lt;&gt;2,"",IF(AND(G39&gt;=1,G39&lt;=5,H39&gt;=1,H39&lt;=5,MOD(G39,1)=0,MOD(H39,1)=0),G39*H39,"")))</x:f>
      </x:c>
      <x:c r="J39" s="138" t="str">
        <x:f>IF(A39="","",IF(ISNUMBER(I39),IF(I39&gt;=16,"Critical",IF(I39&gt;=10,"High",IF(I39&gt;=5,"Medium","Low"))),"Not assessed"))</x:f>
      </x:c>
      <x:c r="K39" s="128"/>
      <x:c r="L39" s="128"/>
      <x:c r="M39" s="128"/>
      <x:c r="N39" s="128"/>
      <x:c r="O39" s="138" t="str">
        <x:f>IF(A39="","",IF(COUNT(M39,N39)&lt;&gt;2,"",IF(AND(M39&gt;=1,M39&lt;=5,N39&gt;=1,N39&lt;=5,MOD(M39,1)=0,MOD(N39,1)=0),M39*N39,"")))</x:f>
      </x:c>
      <x:c r="P39" s="138" t="str">
        <x:f>IF(A39="","",IF(ISNUMBER(O39),IF(O39&gt;=16,"Critical",IF(O39&gt;=10,"High",IF(O39&gt;=5,"Medium","Low"))),"Not assessed"))</x:f>
      </x:c>
      <x:c r="Q39" s="128"/>
      <x:c r="R39" s="128"/>
      <x:c r="S39" s="128"/>
      <x:c r="T39" s="128"/>
      <x:c r="U39" s="130"/>
      <x:c r="V39" s="128"/>
      <x:c r="W39" s="128"/>
      <x:c r="X39" s="128"/>
      <x:c r="Y39" s="128"/>
      <x:c r="Z39" s="128"/>
      <x:c r="AA39" s="128"/>
      <x:c r="AB39" s="130"/>
      <x:c r="AC39" s="128"/>
      <x:c r="AD39" s="138" t="str">
        <x:f>IF(COUNTA(A39:H39,K39:N39,Q39:AC39,AF39:AG39)=0,"",IF(A39="","Missing ID",IF(COUNTIF($A$5:$A$104,A39)&gt;1,"Duplicate ID",IF(OR(B39="",C39="",D39="",E39="",F39="",K39="",L39="",R39=""),"Missing assessment context",IF(OR(NOT(ISNUMBER(I39)),NOT(ISNUMBER(O39))),"Incomplete or invalid scores",IF(OR(S39="",NOT(OR(T39="Open",T39="Planned",T39="In Progress",T39="Closed",T39="Accepted"))),"Missing owner or invalid status",IF(NOT(ISNUMBER(U39)),"Missing or invalid target date",IF(U39&lt;=0,"Missing or invalid target date",IF(NOT(OR(Q39="Mitigate",Q39="Accept",Q39="Transfer",Q39="Avoid")),"Invalid treatment",IF(AND(T39="Accepted",Q39&lt;&gt;"Accept"),"Treatment/status conflict",IF(OR(M39&gt;G39,N39&gt;H39),"Review residual increase","OK")))))))))))</x:f>
      </x:c>
      <x:c r="AE39" s="138" t="str">
        <x:f>IF(A39="","",IF(OR(Y39="",NOT(OR(Z39="Scenario only",Z39="Evidence requested",Z39="Evidence reviewed")),AA39="",NOT(ISNUMBER(AB39)),AF39="",AG39=""),"Add assessment support",IF(OR(AB39&lt;=0,AB39&gt;Methodology!$B$25),"Review date outside period",IF(AND(OR(T39="Closed",T39="Accepted"),OR(AC39="",Z39&lt;&gt;"Evidence reviewed")),"Closure review needed",IF(OR(T39="Closed",T39="Accepted"),"Decision recorded",IF(Z39="Evidence reviewed","Evidence recorded","Scenario documented"))))))</x:f>
      </x:c>
      <x:c r="AF39" s="128"/>
      <x:c r="AG39" s="128"/>
    </x:row>
    <x:row r="40" ht="40" customHeight="1">
      <x:c r="A40" s="128"/>
      <x:c r="B40" s="128"/>
      <x:c r="C40" s="128"/>
      <x:c r="D40" s="128"/>
      <x:c r="E40" s="128"/>
      <x:c r="F40" s="128"/>
      <x:c r="G40" s="128"/>
      <x:c r="H40" s="128"/>
      <x:c r="I40" s="138" t="str">
        <x:f>IF(A40="","",IF(COUNT(G40,H40)&lt;&gt;2,"",IF(AND(G40&gt;=1,G40&lt;=5,H40&gt;=1,H40&lt;=5,MOD(G40,1)=0,MOD(H40,1)=0),G40*H40,"")))</x:f>
      </x:c>
      <x:c r="J40" s="138" t="str">
        <x:f>IF(A40="","",IF(ISNUMBER(I40),IF(I40&gt;=16,"Critical",IF(I40&gt;=10,"High",IF(I40&gt;=5,"Medium","Low"))),"Not assessed"))</x:f>
      </x:c>
      <x:c r="K40" s="128"/>
      <x:c r="L40" s="128"/>
      <x:c r="M40" s="128"/>
      <x:c r="N40" s="128"/>
      <x:c r="O40" s="138" t="str">
        <x:f>IF(A40="","",IF(COUNT(M40,N40)&lt;&gt;2,"",IF(AND(M40&gt;=1,M40&lt;=5,N40&gt;=1,N40&lt;=5,MOD(M40,1)=0,MOD(N40,1)=0),M40*N40,"")))</x:f>
      </x:c>
      <x:c r="P40" s="138" t="str">
        <x:f>IF(A40="","",IF(ISNUMBER(O40),IF(O40&gt;=16,"Critical",IF(O40&gt;=10,"High",IF(O40&gt;=5,"Medium","Low"))),"Not assessed"))</x:f>
      </x:c>
      <x:c r="Q40" s="128"/>
      <x:c r="R40" s="128"/>
      <x:c r="S40" s="128"/>
      <x:c r="T40" s="128"/>
      <x:c r="U40" s="130"/>
      <x:c r="V40" s="128"/>
      <x:c r="W40" s="128"/>
      <x:c r="X40" s="128"/>
      <x:c r="Y40" s="128"/>
      <x:c r="Z40" s="128"/>
      <x:c r="AA40" s="128"/>
      <x:c r="AB40" s="130"/>
      <x:c r="AC40" s="128"/>
      <x:c r="AD40" s="138" t="str">
        <x:f>IF(COUNTA(A40:H40,K40:N40,Q40:AC40,AF40:AG40)=0,"",IF(A40="","Missing ID",IF(COUNTIF($A$5:$A$104,A40)&gt;1,"Duplicate ID",IF(OR(B40="",C40="",D40="",E40="",F40="",K40="",L40="",R40=""),"Missing assessment context",IF(OR(NOT(ISNUMBER(I40)),NOT(ISNUMBER(O40))),"Incomplete or invalid scores",IF(OR(S40="",NOT(OR(T40="Open",T40="Planned",T40="In Progress",T40="Closed",T40="Accepted"))),"Missing owner or invalid status",IF(NOT(ISNUMBER(U40)),"Missing or invalid target date",IF(U40&lt;=0,"Missing or invalid target date",IF(NOT(OR(Q40="Mitigate",Q40="Accept",Q40="Transfer",Q40="Avoid")),"Invalid treatment",IF(AND(T40="Accepted",Q40&lt;&gt;"Accept"),"Treatment/status conflict",IF(OR(M40&gt;G40,N40&gt;H40),"Review residual increase","OK")))))))))))</x:f>
      </x:c>
      <x:c r="AE40" s="138" t="str">
        <x:f>IF(A40="","",IF(OR(Y40="",NOT(OR(Z40="Scenario only",Z40="Evidence requested",Z40="Evidence reviewed")),AA40="",NOT(ISNUMBER(AB40)),AF40="",AG40=""),"Add assessment support",IF(OR(AB40&lt;=0,AB40&gt;Methodology!$B$25),"Review date outside period",IF(AND(OR(T40="Closed",T40="Accepted"),OR(AC40="",Z40&lt;&gt;"Evidence reviewed")),"Closure review needed",IF(OR(T40="Closed",T40="Accepted"),"Decision recorded",IF(Z40="Evidence reviewed","Evidence recorded","Scenario documented"))))))</x:f>
      </x:c>
      <x:c r="AF40" s="128"/>
      <x:c r="AG40" s="128"/>
    </x:row>
    <x:row r="41" ht="40" customHeight="1">
      <x:c r="A41" s="128"/>
      <x:c r="B41" s="128"/>
      <x:c r="C41" s="128"/>
      <x:c r="D41" s="128"/>
      <x:c r="E41" s="128"/>
      <x:c r="F41" s="128"/>
      <x:c r="G41" s="128"/>
      <x:c r="H41" s="128"/>
      <x:c r="I41" s="138" t="str">
        <x:f>IF(A41="","",IF(COUNT(G41,H41)&lt;&gt;2,"",IF(AND(G41&gt;=1,G41&lt;=5,H41&gt;=1,H41&lt;=5,MOD(G41,1)=0,MOD(H41,1)=0),G41*H41,"")))</x:f>
      </x:c>
      <x:c r="J41" s="138" t="str">
        <x:f>IF(A41="","",IF(ISNUMBER(I41),IF(I41&gt;=16,"Critical",IF(I41&gt;=10,"High",IF(I41&gt;=5,"Medium","Low"))),"Not assessed"))</x:f>
      </x:c>
      <x:c r="K41" s="128"/>
      <x:c r="L41" s="128"/>
      <x:c r="M41" s="128"/>
      <x:c r="N41" s="128"/>
      <x:c r="O41" s="138" t="str">
        <x:f>IF(A41="","",IF(COUNT(M41,N41)&lt;&gt;2,"",IF(AND(M41&gt;=1,M41&lt;=5,N41&gt;=1,N41&lt;=5,MOD(M41,1)=0,MOD(N41,1)=0),M41*N41,"")))</x:f>
      </x:c>
      <x:c r="P41" s="138" t="str">
        <x:f>IF(A41="","",IF(ISNUMBER(O41),IF(O41&gt;=16,"Critical",IF(O41&gt;=10,"High",IF(O41&gt;=5,"Medium","Low"))),"Not assessed"))</x:f>
      </x:c>
      <x:c r="Q41" s="128"/>
      <x:c r="R41" s="128"/>
      <x:c r="S41" s="128"/>
      <x:c r="T41" s="128"/>
      <x:c r="U41" s="130"/>
      <x:c r="V41" s="128"/>
      <x:c r="W41" s="128"/>
      <x:c r="X41" s="128"/>
      <x:c r="Y41" s="128"/>
      <x:c r="Z41" s="128"/>
      <x:c r="AA41" s="128"/>
      <x:c r="AB41" s="130"/>
      <x:c r="AC41" s="128"/>
      <x:c r="AD41" s="138" t="str">
        <x:f>IF(COUNTA(A41:H41,K41:N41,Q41:AC41,AF41:AG41)=0,"",IF(A41="","Missing ID",IF(COUNTIF($A$5:$A$104,A41)&gt;1,"Duplicate ID",IF(OR(B41="",C41="",D41="",E41="",F41="",K41="",L41="",R41=""),"Missing assessment context",IF(OR(NOT(ISNUMBER(I41)),NOT(ISNUMBER(O41))),"Incomplete or invalid scores",IF(OR(S41="",NOT(OR(T41="Open",T41="Planned",T41="In Progress",T41="Closed",T41="Accepted"))),"Missing owner or invalid status",IF(NOT(ISNUMBER(U41)),"Missing or invalid target date",IF(U41&lt;=0,"Missing or invalid target date",IF(NOT(OR(Q41="Mitigate",Q41="Accept",Q41="Transfer",Q41="Avoid")),"Invalid treatment",IF(AND(T41="Accepted",Q41&lt;&gt;"Accept"),"Treatment/status conflict",IF(OR(M41&gt;G41,N41&gt;H41),"Review residual increase","OK")))))))))))</x:f>
      </x:c>
      <x:c r="AE41" s="138" t="str">
        <x:f>IF(A41="","",IF(OR(Y41="",NOT(OR(Z41="Scenario only",Z41="Evidence requested",Z41="Evidence reviewed")),AA41="",NOT(ISNUMBER(AB41)),AF41="",AG41=""),"Add assessment support",IF(OR(AB41&lt;=0,AB41&gt;Methodology!$B$25),"Review date outside period",IF(AND(OR(T41="Closed",T41="Accepted"),OR(AC41="",Z41&lt;&gt;"Evidence reviewed")),"Closure review needed",IF(OR(T41="Closed",T41="Accepted"),"Decision recorded",IF(Z41="Evidence reviewed","Evidence recorded","Scenario documented"))))))</x:f>
      </x:c>
      <x:c r="AF41" s="128"/>
      <x:c r="AG41" s="128"/>
    </x:row>
    <x:row r="42" ht="40" customHeight="1">
      <x:c r="A42" s="128"/>
      <x:c r="B42" s="128"/>
      <x:c r="C42" s="128"/>
      <x:c r="D42" s="128"/>
      <x:c r="E42" s="128"/>
      <x:c r="F42" s="128"/>
      <x:c r="G42" s="128"/>
      <x:c r="H42" s="128"/>
      <x:c r="I42" s="138" t="str">
        <x:f>IF(A42="","",IF(COUNT(G42,H42)&lt;&gt;2,"",IF(AND(G42&gt;=1,G42&lt;=5,H42&gt;=1,H42&lt;=5,MOD(G42,1)=0,MOD(H42,1)=0),G42*H42,"")))</x:f>
      </x:c>
      <x:c r="J42" s="138" t="str">
        <x:f>IF(A42="","",IF(ISNUMBER(I42),IF(I42&gt;=16,"Critical",IF(I42&gt;=10,"High",IF(I42&gt;=5,"Medium","Low"))),"Not assessed"))</x:f>
      </x:c>
      <x:c r="K42" s="128"/>
      <x:c r="L42" s="128"/>
      <x:c r="M42" s="128"/>
      <x:c r="N42" s="128"/>
      <x:c r="O42" s="138" t="str">
        <x:f>IF(A42="","",IF(COUNT(M42,N42)&lt;&gt;2,"",IF(AND(M42&gt;=1,M42&lt;=5,N42&gt;=1,N42&lt;=5,MOD(M42,1)=0,MOD(N42,1)=0),M42*N42,"")))</x:f>
      </x:c>
      <x:c r="P42" s="138" t="str">
        <x:f>IF(A42="","",IF(ISNUMBER(O42),IF(O42&gt;=16,"Critical",IF(O42&gt;=10,"High",IF(O42&gt;=5,"Medium","Low"))),"Not assessed"))</x:f>
      </x:c>
      <x:c r="Q42" s="128"/>
      <x:c r="R42" s="128"/>
      <x:c r="S42" s="128"/>
      <x:c r="T42" s="128"/>
      <x:c r="U42" s="130"/>
      <x:c r="V42" s="128"/>
      <x:c r="W42" s="128"/>
      <x:c r="X42" s="128"/>
      <x:c r="Y42" s="128"/>
      <x:c r="Z42" s="128"/>
      <x:c r="AA42" s="128"/>
      <x:c r="AB42" s="130"/>
      <x:c r="AC42" s="128"/>
      <x:c r="AD42" s="138" t="str">
        <x:f>IF(COUNTA(A42:H42,K42:N42,Q42:AC42,AF42:AG42)=0,"",IF(A42="","Missing ID",IF(COUNTIF($A$5:$A$104,A42)&gt;1,"Duplicate ID",IF(OR(B42="",C42="",D42="",E42="",F42="",K42="",L42="",R42=""),"Missing assessment context",IF(OR(NOT(ISNUMBER(I42)),NOT(ISNUMBER(O42))),"Incomplete or invalid scores",IF(OR(S42="",NOT(OR(T42="Open",T42="Planned",T42="In Progress",T42="Closed",T42="Accepted"))),"Missing owner or invalid status",IF(NOT(ISNUMBER(U42)),"Missing or invalid target date",IF(U42&lt;=0,"Missing or invalid target date",IF(NOT(OR(Q42="Mitigate",Q42="Accept",Q42="Transfer",Q42="Avoid")),"Invalid treatment",IF(AND(T42="Accepted",Q42&lt;&gt;"Accept"),"Treatment/status conflict",IF(OR(M42&gt;G42,N42&gt;H42),"Review residual increase","OK")))))))))))</x:f>
      </x:c>
      <x:c r="AE42" s="138" t="str">
        <x:f>IF(A42="","",IF(OR(Y42="",NOT(OR(Z42="Scenario only",Z42="Evidence requested",Z42="Evidence reviewed")),AA42="",NOT(ISNUMBER(AB42)),AF42="",AG42=""),"Add assessment support",IF(OR(AB42&lt;=0,AB42&gt;Methodology!$B$25),"Review date outside period",IF(AND(OR(T42="Closed",T42="Accepted"),OR(AC42="",Z42&lt;&gt;"Evidence reviewed")),"Closure review needed",IF(OR(T42="Closed",T42="Accepted"),"Decision recorded",IF(Z42="Evidence reviewed","Evidence recorded","Scenario documented"))))))</x:f>
      </x:c>
      <x:c r="AF42" s="128"/>
      <x:c r="AG42" s="128"/>
    </x:row>
    <x:row r="43" ht="40" customHeight="1">
      <x:c r="A43" s="128"/>
      <x:c r="B43" s="128"/>
      <x:c r="C43" s="128"/>
      <x:c r="D43" s="128"/>
      <x:c r="E43" s="128"/>
      <x:c r="F43" s="128"/>
      <x:c r="G43" s="128"/>
      <x:c r="H43" s="128"/>
      <x:c r="I43" s="138" t="str">
        <x:f>IF(A43="","",IF(COUNT(G43,H43)&lt;&gt;2,"",IF(AND(G43&gt;=1,G43&lt;=5,H43&gt;=1,H43&lt;=5,MOD(G43,1)=0,MOD(H43,1)=0),G43*H43,"")))</x:f>
      </x:c>
      <x:c r="J43" s="138" t="str">
        <x:f>IF(A43="","",IF(ISNUMBER(I43),IF(I43&gt;=16,"Critical",IF(I43&gt;=10,"High",IF(I43&gt;=5,"Medium","Low"))),"Not assessed"))</x:f>
      </x:c>
      <x:c r="K43" s="128"/>
      <x:c r="L43" s="128"/>
      <x:c r="M43" s="128"/>
      <x:c r="N43" s="128"/>
      <x:c r="O43" s="138" t="str">
        <x:f>IF(A43="","",IF(COUNT(M43,N43)&lt;&gt;2,"",IF(AND(M43&gt;=1,M43&lt;=5,N43&gt;=1,N43&lt;=5,MOD(M43,1)=0,MOD(N43,1)=0),M43*N43,"")))</x:f>
      </x:c>
      <x:c r="P43" s="138" t="str">
        <x:f>IF(A43="","",IF(ISNUMBER(O43),IF(O43&gt;=16,"Critical",IF(O43&gt;=10,"High",IF(O43&gt;=5,"Medium","Low"))),"Not assessed"))</x:f>
      </x:c>
      <x:c r="Q43" s="128"/>
      <x:c r="R43" s="128"/>
      <x:c r="S43" s="128"/>
      <x:c r="T43" s="128"/>
      <x:c r="U43" s="130"/>
      <x:c r="V43" s="128"/>
      <x:c r="W43" s="128"/>
      <x:c r="X43" s="128"/>
      <x:c r="Y43" s="128"/>
      <x:c r="Z43" s="128"/>
      <x:c r="AA43" s="128"/>
      <x:c r="AB43" s="130"/>
      <x:c r="AC43" s="128"/>
      <x:c r="AD43" s="138" t="str">
        <x:f>IF(COUNTA(A43:H43,K43:N43,Q43:AC43,AF43:AG43)=0,"",IF(A43="","Missing ID",IF(COUNTIF($A$5:$A$104,A43)&gt;1,"Duplicate ID",IF(OR(B43="",C43="",D43="",E43="",F43="",K43="",L43="",R43=""),"Missing assessment context",IF(OR(NOT(ISNUMBER(I43)),NOT(ISNUMBER(O43))),"Incomplete or invalid scores",IF(OR(S43="",NOT(OR(T43="Open",T43="Planned",T43="In Progress",T43="Closed",T43="Accepted"))),"Missing owner or invalid status",IF(NOT(ISNUMBER(U43)),"Missing or invalid target date",IF(U43&lt;=0,"Missing or invalid target date",IF(NOT(OR(Q43="Mitigate",Q43="Accept",Q43="Transfer",Q43="Avoid")),"Invalid treatment",IF(AND(T43="Accepted",Q43&lt;&gt;"Accept"),"Treatment/status conflict",IF(OR(M43&gt;G43,N43&gt;H43),"Review residual increase","OK")))))))))))</x:f>
      </x:c>
      <x:c r="AE43" s="138" t="str">
        <x:f>IF(A43="","",IF(OR(Y43="",NOT(OR(Z43="Scenario only",Z43="Evidence requested",Z43="Evidence reviewed")),AA43="",NOT(ISNUMBER(AB43)),AF43="",AG43=""),"Add assessment support",IF(OR(AB43&lt;=0,AB43&gt;Methodology!$B$25),"Review date outside period",IF(AND(OR(T43="Closed",T43="Accepted"),OR(AC43="",Z43&lt;&gt;"Evidence reviewed")),"Closure review needed",IF(OR(T43="Closed",T43="Accepted"),"Decision recorded",IF(Z43="Evidence reviewed","Evidence recorded","Scenario documented"))))))</x:f>
      </x:c>
      <x:c r="AF43" s="128"/>
      <x:c r="AG43" s="128"/>
    </x:row>
    <x:row r="44" ht="40" customHeight="1">
      <x:c r="A44" s="128"/>
      <x:c r="B44" s="128"/>
      <x:c r="C44" s="128"/>
      <x:c r="D44" s="128"/>
      <x:c r="E44" s="128"/>
      <x:c r="F44" s="128"/>
      <x:c r="G44" s="128"/>
      <x:c r="H44" s="128"/>
      <x:c r="I44" s="138" t="str">
        <x:f>IF(A44="","",IF(COUNT(G44,H44)&lt;&gt;2,"",IF(AND(G44&gt;=1,G44&lt;=5,H44&gt;=1,H44&lt;=5,MOD(G44,1)=0,MOD(H44,1)=0),G44*H44,"")))</x:f>
      </x:c>
      <x:c r="J44" s="138" t="str">
        <x:f>IF(A44="","",IF(ISNUMBER(I44),IF(I44&gt;=16,"Critical",IF(I44&gt;=10,"High",IF(I44&gt;=5,"Medium","Low"))),"Not assessed"))</x:f>
      </x:c>
      <x:c r="K44" s="128"/>
      <x:c r="L44" s="128"/>
      <x:c r="M44" s="128"/>
      <x:c r="N44" s="128"/>
      <x:c r="O44" s="138" t="str">
        <x:f>IF(A44="","",IF(COUNT(M44,N44)&lt;&gt;2,"",IF(AND(M44&gt;=1,M44&lt;=5,N44&gt;=1,N44&lt;=5,MOD(M44,1)=0,MOD(N44,1)=0),M44*N44,"")))</x:f>
      </x:c>
      <x:c r="P44" s="138" t="str">
        <x:f>IF(A44="","",IF(ISNUMBER(O44),IF(O44&gt;=16,"Critical",IF(O44&gt;=10,"High",IF(O44&gt;=5,"Medium","Low"))),"Not assessed"))</x:f>
      </x:c>
      <x:c r="Q44" s="128"/>
      <x:c r="R44" s="128"/>
      <x:c r="S44" s="128"/>
      <x:c r="T44" s="128"/>
      <x:c r="U44" s="130"/>
      <x:c r="V44" s="128"/>
      <x:c r="W44" s="128"/>
      <x:c r="X44" s="128"/>
      <x:c r="Y44" s="128"/>
      <x:c r="Z44" s="128"/>
      <x:c r="AA44" s="128"/>
      <x:c r="AB44" s="130"/>
      <x:c r="AC44" s="128"/>
      <x:c r="AD44" s="138" t="str">
        <x:f>IF(COUNTA(A44:H44,K44:N44,Q44:AC44,AF44:AG44)=0,"",IF(A44="","Missing ID",IF(COUNTIF($A$5:$A$104,A44)&gt;1,"Duplicate ID",IF(OR(B44="",C44="",D44="",E44="",F44="",K44="",L44="",R44=""),"Missing assessment context",IF(OR(NOT(ISNUMBER(I44)),NOT(ISNUMBER(O44))),"Incomplete or invalid scores",IF(OR(S44="",NOT(OR(T44="Open",T44="Planned",T44="In Progress",T44="Closed",T44="Accepted"))),"Missing owner or invalid status",IF(NOT(ISNUMBER(U44)),"Missing or invalid target date",IF(U44&lt;=0,"Missing or invalid target date",IF(NOT(OR(Q44="Mitigate",Q44="Accept",Q44="Transfer",Q44="Avoid")),"Invalid treatment",IF(AND(T44="Accepted",Q44&lt;&gt;"Accept"),"Treatment/status conflict",IF(OR(M44&gt;G44,N44&gt;H44),"Review residual increase","OK")))))))))))</x:f>
      </x:c>
      <x:c r="AE44" s="138" t="str">
        <x:f>IF(A44="","",IF(OR(Y44="",NOT(OR(Z44="Scenario only",Z44="Evidence requested",Z44="Evidence reviewed")),AA44="",NOT(ISNUMBER(AB44)),AF44="",AG44=""),"Add assessment support",IF(OR(AB44&lt;=0,AB44&gt;Methodology!$B$25),"Review date outside period",IF(AND(OR(T44="Closed",T44="Accepted"),OR(AC44="",Z44&lt;&gt;"Evidence reviewed")),"Closure review needed",IF(OR(T44="Closed",T44="Accepted"),"Decision recorded",IF(Z44="Evidence reviewed","Evidence recorded","Scenario documented"))))))</x:f>
      </x:c>
      <x:c r="AF44" s="128"/>
      <x:c r="AG44" s="128"/>
    </x:row>
    <x:row r="45" ht="40" customHeight="1">
      <x:c r="A45" s="128"/>
      <x:c r="B45" s="128"/>
      <x:c r="C45" s="128"/>
      <x:c r="D45" s="128"/>
      <x:c r="E45" s="128"/>
      <x:c r="F45" s="128"/>
      <x:c r="G45" s="128"/>
      <x:c r="H45" s="128"/>
      <x:c r="I45" s="138" t="str">
        <x:f>IF(A45="","",IF(COUNT(G45,H45)&lt;&gt;2,"",IF(AND(G45&gt;=1,G45&lt;=5,H45&gt;=1,H45&lt;=5,MOD(G45,1)=0,MOD(H45,1)=0),G45*H45,"")))</x:f>
      </x:c>
      <x:c r="J45" s="138" t="str">
        <x:f>IF(A45="","",IF(ISNUMBER(I45),IF(I45&gt;=16,"Critical",IF(I45&gt;=10,"High",IF(I45&gt;=5,"Medium","Low"))),"Not assessed"))</x:f>
      </x:c>
      <x:c r="K45" s="128"/>
      <x:c r="L45" s="128"/>
      <x:c r="M45" s="128"/>
      <x:c r="N45" s="128"/>
      <x:c r="O45" s="138" t="str">
        <x:f>IF(A45="","",IF(COUNT(M45,N45)&lt;&gt;2,"",IF(AND(M45&gt;=1,M45&lt;=5,N45&gt;=1,N45&lt;=5,MOD(M45,1)=0,MOD(N45,1)=0),M45*N45,"")))</x:f>
      </x:c>
      <x:c r="P45" s="138" t="str">
        <x:f>IF(A45="","",IF(ISNUMBER(O45),IF(O45&gt;=16,"Critical",IF(O45&gt;=10,"High",IF(O45&gt;=5,"Medium","Low"))),"Not assessed"))</x:f>
      </x:c>
      <x:c r="Q45" s="128"/>
      <x:c r="R45" s="128"/>
      <x:c r="S45" s="128"/>
      <x:c r="T45" s="128"/>
      <x:c r="U45" s="130"/>
      <x:c r="V45" s="128"/>
      <x:c r="W45" s="128"/>
      <x:c r="X45" s="128"/>
      <x:c r="Y45" s="128"/>
      <x:c r="Z45" s="128"/>
      <x:c r="AA45" s="128"/>
      <x:c r="AB45" s="130"/>
      <x:c r="AC45" s="128"/>
      <x:c r="AD45" s="138" t="str">
        <x:f>IF(COUNTA(A45:H45,K45:N45,Q45:AC45,AF45:AG45)=0,"",IF(A45="","Missing ID",IF(COUNTIF($A$5:$A$104,A45)&gt;1,"Duplicate ID",IF(OR(B45="",C45="",D45="",E45="",F45="",K45="",L45="",R45=""),"Missing assessment context",IF(OR(NOT(ISNUMBER(I45)),NOT(ISNUMBER(O45))),"Incomplete or invalid scores",IF(OR(S45="",NOT(OR(T45="Open",T45="Planned",T45="In Progress",T45="Closed",T45="Accepted"))),"Missing owner or invalid status",IF(NOT(ISNUMBER(U45)),"Missing or invalid target date",IF(U45&lt;=0,"Missing or invalid target date",IF(NOT(OR(Q45="Mitigate",Q45="Accept",Q45="Transfer",Q45="Avoid")),"Invalid treatment",IF(AND(T45="Accepted",Q45&lt;&gt;"Accept"),"Treatment/status conflict",IF(OR(M45&gt;G45,N45&gt;H45),"Review residual increase","OK")))))))))))</x:f>
      </x:c>
      <x:c r="AE45" s="138" t="str">
        <x:f>IF(A45="","",IF(OR(Y45="",NOT(OR(Z45="Scenario only",Z45="Evidence requested",Z45="Evidence reviewed")),AA45="",NOT(ISNUMBER(AB45)),AF45="",AG45=""),"Add assessment support",IF(OR(AB45&lt;=0,AB45&gt;Methodology!$B$25),"Review date outside period",IF(AND(OR(T45="Closed",T45="Accepted"),OR(AC45="",Z45&lt;&gt;"Evidence reviewed")),"Closure review needed",IF(OR(T45="Closed",T45="Accepted"),"Decision recorded",IF(Z45="Evidence reviewed","Evidence recorded","Scenario documented"))))))</x:f>
      </x:c>
      <x:c r="AF45" s="128"/>
      <x:c r="AG45" s="128"/>
    </x:row>
    <x:row r="46" ht="40" customHeight="1">
      <x:c r="A46" s="128"/>
      <x:c r="B46" s="128"/>
      <x:c r="C46" s="128"/>
      <x:c r="D46" s="128"/>
      <x:c r="E46" s="128"/>
      <x:c r="F46" s="128"/>
      <x:c r="G46" s="128"/>
      <x:c r="H46" s="128"/>
      <x:c r="I46" s="138" t="str">
        <x:f>IF(A46="","",IF(COUNT(G46,H46)&lt;&gt;2,"",IF(AND(G46&gt;=1,G46&lt;=5,H46&gt;=1,H46&lt;=5,MOD(G46,1)=0,MOD(H46,1)=0),G46*H46,"")))</x:f>
      </x:c>
      <x:c r="J46" s="138" t="str">
        <x:f>IF(A46="","",IF(ISNUMBER(I46),IF(I46&gt;=16,"Critical",IF(I46&gt;=10,"High",IF(I46&gt;=5,"Medium","Low"))),"Not assessed"))</x:f>
      </x:c>
      <x:c r="K46" s="128"/>
      <x:c r="L46" s="128"/>
      <x:c r="M46" s="128"/>
      <x:c r="N46" s="128"/>
      <x:c r="O46" s="138" t="str">
        <x:f>IF(A46="","",IF(COUNT(M46,N46)&lt;&gt;2,"",IF(AND(M46&gt;=1,M46&lt;=5,N46&gt;=1,N46&lt;=5,MOD(M46,1)=0,MOD(N46,1)=0),M46*N46,"")))</x:f>
      </x:c>
      <x:c r="P46" s="138" t="str">
        <x:f>IF(A46="","",IF(ISNUMBER(O46),IF(O46&gt;=16,"Critical",IF(O46&gt;=10,"High",IF(O46&gt;=5,"Medium","Low"))),"Not assessed"))</x:f>
      </x:c>
      <x:c r="Q46" s="128"/>
      <x:c r="R46" s="128"/>
      <x:c r="S46" s="128"/>
      <x:c r="T46" s="128"/>
      <x:c r="U46" s="130"/>
      <x:c r="V46" s="128"/>
      <x:c r="W46" s="128"/>
      <x:c r="X46" s="128"/>
      <x:c r="Y46" s="128"/>
      <x:c r="Z46" s="128"/>
      <x:c r="AA46" s="128"/>
      <x:c r="AB46" s="130"/>
      <x:c r="AC46" s="128"/>
      <x:c r="AD46" s="138" t="str">
        <x:f>IF(COUNTA(A46:H46,K46:N46,Q46:AC46,AF46:AG46)=0,"",IF(A46="","Missing ID",IF(COUNTIF($A$5:$A$104,A46)&gt;1,"Duplicate ID",IF(OR(B46="",C46="",D46="",E46="",F46="",K46="",L46="",R46=""),"Missing assessment context",IF(OR(NOT(ISNUMBER(I46)),NOT(ISNUMBER(O46))),"Incomplete or invalid scores",IF(OR(S46="",NOT(OR(T46="Open",T46="Planned",T46="In Progress",T46="Closed",T46="Accepted"))),"Missing owner or invalid status",IF(NOT(ISNUMBER(U46)),"Missing or invalid target date",IF(U46&lt;=0,"Missing or invalid target date",IF(NOT(OR(Q46="Mitigate",Q46="Accept",Q46="Transfer",Q46="Avoid")),"Invalid treatment",IF(AND(T46="Accepted",Q46&lt;&gt;"Accept"),"Treatment/status conflict",IF(OR(M46&gt;G46,N46&gt;H46),"Review residual increase","OK")))))))))))</x:f>
      </x:c>
      <x:c r="AE46" s="138" t="str">
        <x:f>IF(A46="","",IF(OR(Y46="",NOT(OR(Z46="Scenario only",Z46="Evidence requested",Z46="Evidence reviewed")),AA46="",NOT(ISNUMBER(AB46)),AF46="",AG46=""),"Add assessment support",IF(OR(AB46&lt;=0,AB46&gt;Methodology!$B$25),"Review date outside period",IF(AND(OR(T46="Closed",T46="Accepted"),OR(AC46="",Z46&lt;&gt;"Evidence reviewed")),"Closure review needed",IF(OR(T46="Closed",T46="Accepted"),"Decision recorded",IF(Z46="Evidence reviewed","Evidence recorded","Scenario documented"))))))</x:f>
      </x:c>
      <x:c r="AF46" s="128"/>
      <x:c r="AG46" s="128"/>
    </x:row>
    <x:row r="47" ht="40" customHeight="1">
      <x:c r="A47" s="128"/>
      <x:c r="B47" s="128"/>
      <x:c r="C47" s="128"/>
      <x:c r="D47" s="128"/>
      <x:c r="E47" s="128"/>
      <x:c r="F47" s="128"/>
      <x:c r="G47" s="128"/>
      <x:c r="H47" s="128"/>
      <x:c r="I47" s="138" t="str">
        <x:f>IF(A47="","",IF(COUNT(G47,H47)&lt;&gt;2,"",IF(AND(G47&gt;=1,G47&lt;=5,H47&gt;=1,H47&lt;=5,MOD(G47,1)=0,MOD(H47,1)=0),G47*H47,"")))</x:f>
      </x:c>
      <x:c r="J47" s="138" t="str">
        <x:f>IF(A47="","",IF(ISNUMBER(I47),IF(I47&gt;=16,"Critical",IF(I47&gt;=10,"High",IF(I47&gt;=5,"Medium","Low"))),"Not assessed"))</x:f>
      </x:c>
      <x:c r="K47" s="128"/>
      <x:c r="L47" s="128"/>
      <x:c r="M47" s="128"/>
      <x:c r="N47" s="128"/>
      <x:c r="O47" s="138" t="str">
        <x:f>IF(A47="","",IF(COUNT(M47,N47)&lt;&gt;2,"",IF(AND(M47&gt;=1,M47&lt;=5,N47&gt;=1,N47&lt;=5,MOD(M47,1)=0,MOD(N47,1)=0),M47*N47,"")))</x:f>
      </x:c>
      <x:c r="P47" s="138" t="str">
        <x:f>IF(A47="","",IF(ISNUMBER(O47),IF(O47&gt;=16,"Critical",IF(O47&gt;=10,"High",IF(O47&gt;=5,"Medium","Low"))),"Not assessed"))</x:f>
      </x:c>
      <x:c r="Q47" s="128"/>
      <x:c r="R47" s="128"/>
      <x:c r="S47" s="128"/>
      <x:c r="T47" s="128"/>
      <x:c r="U47" s="130"/>
      <x:c r="V47" s="128"/>
      <x:c r="W47" s="128"/>
      <x:c r="X47" s="128"/>
      <x:c r="Y47" s="128"/>
      <x:c r="Z47" s="128"/>
      <x:c r="AA47" s="128"/>
      <x:c r="AB47" s="130"/>
      <x:c r="AC47" s="128"/>
      <x:c r="AD47" s="138" t="str">
        <x:f>IF(COUNTA(A47:H47,K47:N47,Q47:AC47,AF47:AG47)=0,"",IF(A47="","Missing ID",IF(COUNTIF($A$5:$A$104,A47)&gt;1,"Duplicate ID",IF(OR(B47="",C47="",D47="",E47="",F47="",K47="",L47="",R47=""),"Missing assessment context",IF(OR(NOT(ISNUMBER(I47)),NOT(ISNUMBER(O47))),"Incomplete or invalid scores",IF(OR(S47="",NOT(OR(T47="Open",T47="Planned",T47="In Progress",T47="Closed",T47="Accepted"))),"Missing owner or invalid status",IF(NOT(ISNUMBER(U47)),"Missing or invalid target date",IF(U47&lt;=0,"Missing or invalid target date",IF(NOT(OR(Q47="Mitigate",Q47="Accept",Q47="Transfer",Q47="Avoid")),"Invalid treatment",IF(AND(T47="Accepted",Q47&lt;&gt;"Accept"),"Treatment/status conflict",IF(OR(M47&gt;G47,N47&gt;H47),"Review residual increase","OK")))))))))))</x:f>
      </x:c>
      <x:c r="AE47" s="138" t="str">
        <x:f>IF(A47="","",IF(OR(Y47="",NOT(OR(Z47="Scenario only",Z47="Evidence requested",Z47="Evidence reviewed")),AA47="",NOT(ISNUMBER(AB47)),AF47="",AG47=""),"Add assessment support",IF(OR(AB47&lt;=0,AB47&gt;Methodology!$B$25),"Review date outside period",IF(AND(OR(T47="Closed",T47="Accepted"),OR(AC47="",Z47&lt;&gt;"Evidence reviewed")),"Closure review needed",IF(OR(T47="Closed",T47="Accepted"),"Decision recorded",IF(Z47="Evidence reviewed","Evidence recorded","Scenario documented"))))))</x:f>
      </x:c>
      <x:c r="AF47" s="128"/>
      <x:c r="AG47" s="128"/>
    </x:row>
    <x:row r="48" ht="40" customHeight="1">
      <x:c r="A48" s="128"/>
      <x:c r="B48" s="128"/>
      <x:c r="C48" s="128"/>
      <x:c r="D48" s="128"/>
      <x:c r="E48" s="128"/>
      <x:c r="F48" s="128"/>
      <x:c r="G48" s="128"/>
      <x:c r="H48" s="128"/>
      <x:c r="I48" s="138" t="str">
        <x:f>IF(A48="","",IF(COUNT(G48,H48)&lt;&gt;2,"",IF(AND(G48&gt;=1,G48&lt;=5,H48&gt;=1,H48&lt;=5,MOD(G48,1)=0,MOD(H48,1)=0),G48*H48,"")))</x:f>
      </x:c>
      <x:c r="J48" s="138" t="str">
        <x:f>IF(A48="","",IF(ISNUMBER(I48),IF(I48&gt;=16,"Critical",IF(I48&gt;=10,"High",IF(I48&gt;=5,"Medium","Low"))),"Not assessed"))</x:f>
      </x:c>
      <x:c r="K48" s="128"/>
      <x:c r="L48" s="128"/>
      <x:c r="M48" s="128"/>
      <x:c r="N48" s="128"/>
      <x:c r="O48" s="138" t="str">
        <x:f>IF(A48="","",IF(COUNT(M48,N48)&lt;&gt;2,"",IF(AND(M48&gt;=1,M48&lt;=5,N48&gt;=1,N48&lt;=5,MOD(M48,1)=0,MOD(N48,1)=0),M48*N48,"")))</x:f>
      </x:c>
      <x:c r="P48" s="138" t="str">
        <x:f>IF(A48="","",IF(ISNUMBER(O48),IF(O48&gt;=16,"Critical",IF(O48&gt;=10,"High",IF(O48&gt;=5,"Medium","Low"))),"Not assessed"))</x:f>
      </x:c>
      <x:c r="Q48" s="128"/>
      <x:c r="R48" s="128"/>
      <x:c r="S48" s="128"/>
      <x:c r="T48" s="128"/>
      <x:c r="U48" s="130"/>
      <x:c r="V48" s="128"/>
      <x:c r="W48" s="128"/>
      <x:c r="X48" s="128"/>
      <x:c r="Y48" s="128"/>
      <x:c r="Z48" s="128"/>
      <x:c r="AA48" s="128"/>
      <x:c r="AB48" s="130"/>
      <x:c r="AC48" s="128"/>
      <x:c r="AD48" s="138" t="str">
        <x:f>IF(COUNTA(A48:H48,K48:N48,Q48:AC48,AF48:AG48)=0,"",IF(A48="","Missing ID",IF(COUNTIF($A$5:$A$104,A48)&gt;1,"Duplicate ID",IF(OR(B48="",C48="",D48="",E48="",F48="",K48="",L48="",R48=""),"Missing assessment context",IF(OR(NOT(ISNUMBER(I48)),NOT(ISNUMBER(O48))),"Incomplete or invalid scores",IF(OR(S48="",NOT(OR(T48="Open",T48="Planned",T48="In Progress",T48="Closed",T48="Accepted"))),"Missing owner or invalid status",IF(NOT(ISNUMBER(U48)),"Missing or invalid target date",IF(U48&lt;=0,"Missing or invalid target date",IF(NOT(OR(Q48="Mitigate",Q48="Accept",Q48="Transfer",Q48="Avoid")),"Invalid treatment",IF(AND(T48="Accepted",Q48&lt;&gt;"Accept"),"Treatment/status conflict",IF(OR(M48&gt;G48,N48&gt;H48),"Review residual increase","OK")))))))))))</x:f>
      </x:c>
      <x:c r="AE48" s="138" t="str">
        <x:f>IF(A48="","",IF(OR(Y48="",NOT(OR(Z48="Scenario only",Z48="Evidence requested",Z48="Evidence reviewed")),AA48="",NOT(ISNUMBER(AB48)),AF48="",AG48=""),"Add assessment support",IF(OR(AB48&lt;=0,AB48&gt;Methodology!$B$25),"Review date outside period",IF(AND(OR(T48="Closed",T48="Accepted"),OR(AC48="",Z48&lt;&gt;"Evidence reviewed")),"Closure review needed",IF(OR(T48="Closed",T48="Accepted"),"Decision recorded",IF(Z48="Evidence reviewed","Evidence recorded","Scenario documented"))))))</x:f>
      </x:c>
      <x:c r="AF48" s="128"/>
      <x:c r="AG48" s="128"/>
    </x:row>
    <x:row r="49" ht="40" customHeight="1">
      <x:c r="A49" s="128"/>
      <x:c r="B49" s="128"/>
      <x:c r="C49" s="128"/>
      <x:c r="D49" s="128"/>
      <x:c r="E49" s="128"/>
      <x:c r="F49" s="128"/>
      <x:c r="G49" s="128"/>
      <x:c r="H49" s="128"/>
      <x:c r="I49" s="138" t="str">
        <x:f>IF(A49="","",IF(COUNT(G49,H49)&lt;&gt;2,"",IF(AND(G49&gt;=1,G49&lt;=5,H49&gt;=1,H49&lt;=5,MOD(G49,1)=0,MOD(H49,1)=0),G49*H49,"")))</x:f>
      </x:c>
      <x:c r="J49" s="138" t="str">
        <x:f>IF(A49="","",IF(ISNUMBER(I49),IF(I49&gt;=16,"Critical",IF(I49&gt;=10,"High",IF(I49&gt;=5,"Medium","Low"))),"Not assessed"))</x:f>
      </x:c>
      <x:c r="K49" s="128"/>
      <x:c r="L49" s="128"/>
      <x:c r="M49" s="128"/>
      <x:c r="N49" s="128"/>
      <x:c r="O49" s="138" t="str">
        <x:f>IF(A49="","",IF(COUNT(M49,N49)&lt;&gt;2,"",IF(AND(M49&gt;=1,M49&lt;=5,N49&gt;=1,N49&lt;=5,MOD(M49,1)=0,MOD(N49,1)=0),M49*N49,"")))</x:f>
      </x:c>
      <x:c r="P49" s="138" t="str">
        <x:f>IF(A49="","",IF(ISNUMBER(O49),IF(O49&gt;=16,"Critical",IF(O49&gt;=10,"High",IF(O49&gt;=5,"Medium","Low"))),"Not assessed"))</x:f>
      </x:c>
      <x:c r="Q49" s="128"/>
      <x:c r="R49" s="128"/>
      <x:c r="S49" s="128"/>
      <x:c r="T49" s="128"/>
      <x:c r="U49" s="130"/>
      <x:c r="V49" s="128"/>
      <x:c r="W49" s="128"/>
      <x:c r="X49" s="128"/>
      <x:c r="Y49" s="128"/>
      <x:c r="Z49" s="128"/>
      <x:c r="AA49" s="128"/>
      <x:c r="AB49" s="130"/>
      <x:c r="AC49" s="128"/>
      <x:c r="AD49" s="138" t="str">
        <x:f>IF(COUNTA(A49:H49,K49:N49,Q49:AC49,AF49:AG49)=0,"",IF(A49="","Missing ID",IF(COUNTIF($A$5:$A$104,A49)&gt;1,"Duplicate ID",IF(OR(B49="",C49="",D49="",E49="",F49="",K49="",L49="",R49=""),"Missing assessment context",IF(OR(NOT(ISNUMBER(I49)),NOT(ISNUMBER(O49))),"Incomplete or invalid scores",IF(OR(S49="",NOT(OR(T49="Open",T49="Planned",T49="In Progress",T49="Closed",T49="Accepted"))),"Missing owner or invalid status",IF(NOT(ISNUMBER(U49)),"Missing or invalid target date",IF(U49&lt;=0,"Missing or invalid target date",IF(NOT(OR(Q49="Mitigate",Q49="Accept",Q49="Transfer",Q49="Avoid")),"Invalid treatment",IF(AND(T49="Accepted",Q49&lt;&gt;"Accept"),"Treatment/status conflict",IF(OR(M49&gt;G49,N49&gt;H49),"Review residual increase","OK")))))))))))</x:f>
      </x:c>
      <x:c r="AE49" s="138" t="str">
        <x:f>IF(A49="","",IF(OR(Y49="",NOT(OR(Z49="Scenario only",Z49="Evidence requested",Z49="Evidence reviewed")),AA49="",NOT(ISNUMBER(AB49)),AF49="",AG49=""),"Add assessment support",IF(OR(AB49&lt;=0,AB49&gt;Methodology!$B$25),"Review date outside period",IF(AND(OR(T49="Closed",T49="Accepted"),OR(AC49="",Z49&lt;&gt;"Evidence reviewed")),"Closure review needed",IF(OR(T49="Closed",T49="Accepted"),"Decision recorded",IF(Z49="Evidence reviewed","Evidence recorded","Scenario documented"))))))</x:f>
      </x:c>
      <x:c r="AF49" s="128"/>
      <x:c r="AG49" s="128"/>
    </x:row>
    <x:row r="50" ht="40" customHeight="1">
      <x:c r="A50" s="128"/>
      <x:c r="B50" s="128"/>
      <x:c r="C50" s="128"/>
      <x:c r="D50" s="128"/>
      <x:c r="E50" s="128"/>
      <x:c r="F50" s="128"/>
      <x:c r="G50" s="128"/>
      <x:c r="H50" s="128"/>
      <x:c r="I50" s="138" t="str">
        <x:f>IF(A50="","",IF(COUNT(G50,H50)&lt;&gt;2,"",IF(AND(G50&gt;=1,G50&lt;=5,H50&gt;=1,H50&lt;=5,MOD(G50,1)=0,MOD(H50,1)=0),G50*H50,"")))</x:f>
      </x:c>
      <x:c r="J50" s="138" t="str">
        <x:f>IF(A50="","",IF(ISNUMBER(I50),IF(I50&gt;=16,"Critical",IF(I50&gt;=10,"High",IF(I50&gt;=5,"Medium","Low"))),"Not assessed"))</x:f>
      </x:c>
      <x:c r="K50" s="128"/>
      <x:c r="L50" s="128"/>
      <x:c r="M50" s="128"/>
      <x:c r="N50" s="128"/>
      <x:c r="O50" s="138" t="str">
        <x:f>IF(A50="","",IF(COUNT(M50,N50)&lt;&gt;2,"",IF(AND(M50&gt;=1,M50&lt;=5,N50&gt;=1,N50&lt;=5,MOD(M50,1)=0,MOD(N50,1)=0),M50*N50,"")))</x:f>
      </x:c>
      <x:c r="P50" s="138" t="str">
        <x:f>IF(A50="","",IF(ISNUMBER(O50),IF(O50&gt;=16,"Critical",IF(O50&gt;=10,"High",IF(O50&gt;=5,"Medium","Low"))),"Not assessed"))</x:f>
      </x:c>
      <x:c r="Q50" s="128"/>
      <x:c r="R50" s="128"/>
      <x:c r="S50" s="128"/>
      <x:c r="T50" s="128"/>
      <x:c r="U50" s="130"/>
      <x:c r="V50" s="128"/>
      <x:c r="W50" s="128"/>
      <x:c r="X50" s="128"/>
      <x:c r="Y50" s="128"/>
      <x:c r="Z50" s="128"/>
      <x:c r="AA50" s="128"/>
      <x:c r="AB50" s="130"/>
      <x:c r="AC50" s="128"/>
      <x:c r="AD50" s="138" t="str">
        <x:f>IF(COUNTA(A50:H50,K50:N50,Q50:AC50,AF50:AG50)=0,"",IF(A50="","Missing ID",IF(COUNTIF($A$5:$A$104,A50)&gt;1,"Duplicate ID",IF(OR(B50="",C50="",D50="",E50="",F50="",K50="",L50="",R50=""),"Missing assessment context",IF(OR(NOT(ISNUMBER(I50)),NOT(ISNUMBER(O50))),"Incomplete or invalid scores",IF(OR(S50="",NOT(OR(T50="Open",T50="Planned",T50="In Progress",T50="Closed",T50="Accepted"))),"Missing owner or invalid status",IF(NOT(ISNUMBER(U50)),"Missing or invalid target date",IF(U50&lt;=0,"Missing or invalid target date",IF(NOT(OR(Q50="Mitigate",Q50="Accept",Q50="Transfer",Q50="Avoid")),"Invalid treatment",IF(AND(T50="Accepted",Q50&lt;&gt;"Accept"),"Treatment/status conflict",IF(OR(M50&gt;G50,N50&gt;H50),"Review residual increase","OK")))))))))))</x:f>
      </x:c>
      <x:c r="AE50" s="138" t="str">
        <x:f>IF(A50="","",IF(OR(Y50="",NOT(OR(Z50="Scenario only",Z50="Evidence requested",Z50="Evidence reviewed")),AA50="",NOT(ISNUMBER(AB50)),AF50="",AG50=""),"Add assessment support",IF(OR(AB50&lt;=0,AB50&gt;Methodology!$B$25),"Review date outside period",IF(AND(OR(T50="Closed",T50="Accepted"),OR(AC50="",Z50&lt;&gt;"Evidence reviewed")),"Closure review needed",IF(OR(T50="Closed",T50="Accepted"),"Decision recorded",IF(Z50="Evidence reviewed","Evidence recorded","Scenario documented"))))))</x:f>
      </x:c>
      <x:c r="AF50" s="128"/>
      <x:c r="AG50" s="128"/>
    </x:row>
    <x:row r="51" ht="40" customHeight="1">
      <x:c r="A51" s="128"/>
      <x:c r="B51" s="128"/>
      <x:c r="C51" s="128"/>
      <x:c r="D51" s="128"/>
      <x:c r="E51" s="128"/>
      <x:c r="F51" s="128"/>
      <x:c r="G51" s="128"/>
      <x:c r="H51" s="128"/>
      <x:c r="I51" s="138" t="str">
        <x:f>IF(A51="","",IF(COUNT(G51,H51)&lt;&gt;2,"",IF(AND(G51&gt;=1,G51&lt;=5,H51&gt;=1,H51&lt;=5,MOD(G51,1)=0,MOD(H51,1)=0),G51*H51,"")))</x:f>
      </x:c>
      <x:c r="J51" s="138" t="str">
        <x:f>IF(A51="","",IF(ISNUMBER(I51),IF(I51&gt;=16,"Critical",IF(I51&gt;=10,"High",IF(I51&gt;=5,"Medium","Low"))),"Not assessed"))</x:f>
      </x:c>
      <x:c r="K51" s="128"/>
      <x:c r="L51" s="128"/>
      <x:c r="M51" s="128"/>
      <x:c r="N51" s="128"/>
      <x:c r="O51" s="138" t="str">
        <x:f>IF(A51="","",IF(COUNT(M51,N51)&lt;&gt;2,"",IF(AND(M51&gt;=1,M51&lt;=5,N51&gt;=1,N51&lt;=5,MOD(M51,1)=0,MOD(N51,1)=0),M51*N51,"")))</x:f>
      </x:c>
      <x:c r="P51" s="138" t="str">
        <x:f>IF(A51="","",IF(ISNUMBER(O51),IF(O51&gt;=16,"Critical",IF(O51&gt;=10,"High",IF(O51&gt;=5,"Medium","Low"))),"Not assessed"))</x:f>
      </x:c>
      <x:c r="Q51" s="128"/>
      <x:c r="R51" s="128"/>
      <x:c r="S51" s="128"/>
      <x:c r="T51" s="128"/>
      <x:c r="U51" s="130"/>
      <x:c r="V51" s="128"/>
      <x:c r="W51" s="128"/>
      <x:c r="X51" s="128"/>
      <x:c r="Y51" s="128"/>
      <x:c r="Z51" s="128"/>
      <x:c r="AA51" s="128"/>
      <x:c r="AB51" s="130"/>
      <x:c r="AC51" s="128"/>
      <x:c r="AD51" s="138" t="str">
        <x:f>IF(COUNTA(A51:H51,K51:N51,Q51:AC51,AF51:AG51)=0,"",IF(A51="","Missing ID",IF(COUNTIF($A$5:$A$104,A51)&gt;1,"Duplicate ID",IF(OR(B51="",C51="",D51="",E51="",F51="",K51="",L51="",R51=""),"Missing assessment context",IF(OR(NOT(ISNUMBER(I51)),NOT(ISNUMBER(O51))),"Incomplete or invalid scores",IF(OR(S51="",NOT(OR(T51="Open",T51="Planned",T51="In Progress",T51="Closed",T51="Accepted"))),"Missing owner or invalid status",IF(NOT(ISNUMBER(U51)),"Missing or invalid target date",IF(U51&lt;=0,"Missing or invalid target date",IF(NOT(OR(Q51="Mitigate",Q51="Accept",Q51="Transfer",Q51="Avoid")),"Invalid treatment",IF(AND(T51="Accepted",Q51&lt;&gt;"Accept"),"Treatment/status conflict",IF(OR(M51&gt;G51,N51&gt;H51),"Review residual increase","OK")))))))))))</x:f>
      </x:c>
      <x:c r="AE51" s="138" t="str">
        <x:f>IF(A51="","",IF(OR(Y51="",NOT(OR(Z51="Scenario only",Z51="Evidence requested",Z51="Evidence reviewed")),AA51="",NOT(ISNUMBER(AB51)),AF51="",AG51=""),"Add assessment support",IF(OR(AB51&lt;=0,AB51&gt;Methodology!$B$25),"Review date outside period",IF(AND(OR(T51="Closed",T51="Accepted"),OR(AC51="",Z51&lt;&gt;"Evidence reviewed")),"Closure review needed",IF(OR(T51="Closed",T51="Accepted"),"Decision recorded",IF(Z51="Evidence reviewed","Evidence recorded","Scenario documented"))))))</x:f>
      </x:c>
      <x:c r="AF51" s="128"/>
      <x:c r="AG51" s="128"/>
    </x:row>
    <x:row r="52" ht="40" customHeight="1">
      <x:c r="A52" s="128"/>
      <x:c r="B52" s="128"/>
      <x:c r="C52" s="128"/>
      <x:c r="D52" s="128"/>
      <x:c r="E52" s="128"/>
      <x:c r="F52" s="128"/>
      <x:c r="G52" s="128"/>
      <x:c r="H52" s="128"/>
      <x:c r="I52" s="138" t="str">
        <x:f>IF(A52="","",IF(COUNT(G52,H52)&lt;&gt;2,"",IF(AND(G52&gt;=1,G52&lt;=5,H52&gt;=1,H52&lt;=5,MOD(G52,1)=0,MOD(H52,1)=0),G52*H52,"")))</x:f>
      </x:c>
      <x:c r="J52" s="138" t="str">
        <x:f>IF(A52="","",IF(ISNUMBER(I52),IF(I52&gt;=16,"Critical",IF(I52&gt;=10,"High",IF(I52&gt;=5,"Medium","Low"))),"Not assessed"))</x:f>
      </x:c>
      <x:c r="K52" s="128"/>
      <x:c r="L52" s="128"/>
      <x:c r="M52" s="128"/>
      <x:c r="N52" s="128"/>
      <x:c r="O52" s="138" t="str">
        <x:f>IF(A52="","",IF(COUNT(M52,N52)&lt;&gt;2,"",IF(AND(M52&gt;=1,M52&lt;=5,N52&gt;=1,N52&lt;=5,MOD(M52,1)=0,MOD(N52,1)=0),M52*N52,"")))</x:f>
      </x:c>
      <x:c r="P52" s="138" t="str">
        <x:f>IF(A52="","",IF(ISNUMBER(O52),IF(O52&gt;=16,"Critical",IF(O52&gt;=10,"High",IF(O52&gt;=5,"Medium","Low"))),"Not assessed"))</x:f>
      </x:c>
      <x:c r="Q52" s="128"/>
      <x:c r="R52" s="128"/>
      <x:c r="S52" s="128"/>
      <x:c r="T52" s="128"/>
      <x:c r="U52" s="130"/>
      <x:c r="V52" s="128"/>
      <x:c r="W52" s="128"/>
      <x:c r="X52" s="128"/>
      <x:c r="Y52" s="128"/>
      <x:c r="Z52" s="128"/>
      <x:c r="AA52" s="128"/>
      <x:c r="AB52" s="130"/>
      <x:c r="AC52" s="128"/>
      <x:c r="AD52" s="138" t="str">
        <x:f>IF(COUNTA(A52:H52,K52:N52,Q52:AC52,AF52:AG52)=0,"",IF(A52="","Missing ID",IF(COUNTIF($A$5:$A$104,A52)&gt;1,"Duplicate ID",IF(OR(B52="",C52="",D52="",E52="",F52="",K52="",L52="",R52=""),"Missing assessment context",IF(OR(NOT(ISNUMBER(I52)),NOT(ISNUMBER(O52))),"Incomplete or invalid scores",IF(OR(S52="",NOT(OR(T52="Open",T52="Planned",T52="In Progress",T52="Closed",T52="Accepted"))),"Missing owner or invalid status",IF(NOT(ISNUMBER(U52)),"Missing or invalid target date",IF(U52&lt;=0,"Missing or invalid target date",IF(NOT(OR(Q52="Mitigate",Q52="Accept",Q52="Transfer",Q52="Avoid")),"Invalid treatment",IF(AND(T52="Accepted",Q52&lt;&gt;"Accept"),"Treatment/status conflict",IF(OR(M52&gt;G52,N52&gt;H52),"Review residual increase","OK")))))))))))</x:f>
      </x:c>
      <x:c r="AE52" s="138" t="str">
        <x:f>IF(A52="","",IF(OR(Y52="",NOT(OR(Z52="Scenario only",Z52="Evidence requested",Z52="Evidence reviewed")),AA52="",NOT(ISNUMBER(AB52)),AF52="",AG52=""),"Add assessment support",IF(OR(AB52&lt;=0,AB52&gt;Methodology!$B$25),"Review date outside period",IF(AND(OR(T52="Closed",T52="Accepted"),OR(AC52="",Z52&lt;&gt;"Evidence reviewed")),"Closure review needed",IF(OR(T52="Closed",T52="Accepted"),"Decision recorded",IF(Z52="Evidence reviewed","Evidence recorded","Scenario documented"))))))</x:f>
      </x:c>
      <x:c r="AF52" s="128"/>
      <x:c r="AG52" s="128"/>
    </x:row>
    <x:row r="53" ht="40" customHeight="1">
      <x:c r="A53" s="128"/>
      <x:c r="B53" s="128"/>
      <x:c r="C53" s="128"/>
      <x:c r="D53" s="128"/>
      <x:c r="E53" s="128"/>
      <x:c r="F53" s="128"/>
      <x:c r="G53" s="128"/>
      <x:c r="H53" s="128"/>
      <x:c r="I53" s="138" t="str">
        <x:f>IF(A53="","",IF(COUNT(G53,H53)&lt;&gt;2,"",IF(AND(G53&gt;=1,G53&lt;=5,H53&gt;=1,H53&lt;=5,MOD(G53,1)=0,MOD(H53,1)=0),G53*H53,"")))</x:f>
      </x:c>
      <x:c r="J53" s="138" t="str">
        <x:f>IF(A53="","",IF(ISNUMBER(I53),IF(I53&gt;=16,"Critical",IF(I53&gt;=10,"High",IF(I53&gt;=5,"Medium","Low"))),"Not assessed"))</x:f>
      </x:c>
      <x:c r="K53" s="128"/>
      <x:c r="L53" s="128"/>
      <x:c r="M53" s="128"/>
      <x:c r="N53" s="128"/>
      <x:c r="O53" s="138" t="str">
        <x:f>IF(A53="","",IF(COUNT(M53,N53)&lt;&gt;2,"",IF(AND(M53&gt;=1,M53&lt;=5,N53&gt;=1,N53&lt;=5,MOD(M53,1)=0,MOD(N53,1)=0),M53*N53,"")))</x:f>
      </x:c>
      <x:c r="P53" s="138" t="str">
        <x:f>IF(A53="","",IF(ISNUMBER(O53),IF(O53&gt;=16,"Critical",IF(O53&gt;=10,"High",IF(O53&gt;=5,"Medium","Low"))),"Not assessed"))</x:f>
      </x:c>
      <x:c r="Q53" s="128"/>
      <x:c r="R53" s="128"/>
      <x:c r="S53" s="128"/>
      <x:c r="T53" s="128"/>
      <x:c r="U53" s="130"/>
      <x:c r="V53" s="128"/>
      <x:c r="W53" s="128"/>
      <x:c r="X53" s="128"/>
      <x:c r="Y53" s="128"/>
      <x:c r="Z53" s="128"/>
      <x:c r="AA53" s="128"/>
      <x:c r="AB53" s="130"/>
      <x:c r="AC53" s="128"/>
      <x:c r="AD53" s="138" t="str">
        <x:f>IF(COUNTA(A53:H53,K53:N53,Q53:AC53,AF53:AG53)=0,"",IF(A53="","Missing ID",IF(COUNTIF($A$5:$A$104,A53)&gt;1,"Duplicate ID",IF(OR(B53="",C53="",D53="",E53="",F53="",K53="",L53="",R53=""),"Missing assessment context",IF(OR(NOT(ISNUMBER(I53)),NOT(ISNUMBER(O53))),"Incomplete or invalid scores",IF(OR(S53="",NOT(OR(T53="Open",T53="Planned",T53="In Progress",T53="Closed",T53="Accepted"))),"Missing owner or invalid status",IF(NOT(ISNUMBER(U53)),"Missing or invalid target date",IF(U53&lt;=0,"Missing or invalid target date",IF(NOT(OR(Q53="Mitigate",Q53="Accept",Q53="Transfer",Q53="Avoid")),"Invalid treatment",IF(AND(T53="Accepted",Q53&lt;&gt;"Accept"),"Treatment/status conflict",IF(OR(M53&gt;G53,N53&gt;H53),"Review residual increase","OK")))))))))))</x:f>
      </x:c>
      <x:c r="AE53" s="138" t="str">
        <x:f>IF(A53="","",IF(OR(Y53="",NOT(OR(Z53="Scenario only",Z53="Evidence requested",Z53="Evidence reviewed")),AA53="",NOT(ISNUMBER(AB53)),AF53="",AG53=""),"Add assessment support",IF(OR(AB53&lt;=0,AB53&gt;Methodology!$B$25),"Review date outside period",IF(AND(OR(T53="Closed",T53="Accepted"),OR(AC53="",Z53&lt;&gt;"Evidence reviewed")),"Closure review needed",IF(OR(T53="Closed",T53="Accepted"),"Decision recorded",IF(Z53="Evidence reviewed","Evidence recorded","Scenario documented"))))))</x:f>
      </x:c>
      <x:c r="AF53" s="128"/>
      <x:c r="AG53" s="128"/>
    </x:row>
    <x:row r="54" ht="40" customHeight="1">
      <x:c r="A54" s="128"/>
      <x:c r="B54" s="128"/>
      <x:c r="C54" s="128"/>
      <x:c r="D54" s="128"/>
      <x:c r="E54" s="128"/>
      <x:c r="F54" s="128"/>
      <x:c r="G54" s="128"/>
      <x:c r="H54" s="128"/>
      <x:c r="I54" s="138" t="str">
        <x:f>IF(A54="","",IF(COUNT(G54,H54)&lt;&gt;2,"",IF(AND(G54&gt;=1,G54&lt;=5,H54&gt;=1,H54&lt;=5,MOD(G54,1)=0,MOD(H54,1)=0),G54*H54,"")))</x:f>
      </x:c>
      <x:c r="J54" s="138" t="str">
        <x:f>IF(A54="","",IF(ISNUMBER(I54),IF(I54&gt;=16,"Critical",IF(I54&gt;=10,"High",IF(I54&gt;=5,"Medium","Low"))),"Not assessed"))</x:f>
      </x:c>
      <x:c r="K54" s="128"/>
      <x:c r="L54" s="128"/>
      <x:c r="M54" s="128"/>
      <x:c r="N54" s="128"/>
      <x:c r="O54" s="138" t="str">
        <x:f>IF(A54="","",IF(COUNT(M54,N54)&lt;&gt;2,"",IF(AND(M54&gt;=1,M54&lt;=5,N54&gt;=1,N54&lt;=5,MOD(M54,1)=0,MOD(N54,1)=0),M54*N54,"")))</x:f>
      </x:c>
      <x:c r="P54" s="138" t="str">
        <x:f>IF(A54="","",IF(ISNUMBER(O54),IF(O54&gt;=16,"Critical",IF(O54&gt;=10,"High",IF(O54&gt;=5,"Medium","Low"))),"Not assessed"))</x:f>
      </x:c>
      <x:c r="Q54" s="128"/>
      <x:c r="R54" s="128"/>
      <x:c r="S54" s="128"/>
      <x:c r="T54" s="128"/>
      <x:c r="U54" s="130"/>
      <x:c r="V54" s="128"/>
      <x:c r="W54" s="128"/>
      <x:c r="X54" s="128"/>
      <x:c r="Y54" s="128"/>
      <x:c r="Z54" s="128"/>
      <x:c r="AA54" s="128"/>
      <x:c r="AB54" s="130"/>
      <x:c r="AC54" s="128"/>
      <x:c r="AD54" s="138" t="str">
        <x:f>IF(COUNTA(A54:H54,K54:N54,Q54:AC54,AF54:AG54)=0,"",IF(A54="","Missing ID",IF(COUNTIF($A$5:$A$104,A54)&gt;1,"Duplicate ID",IF(OR(B54="",C54="",D54="",E54="",F54="",K54="",L54="",R54=""),"Missing assessment context",IF(OR(NOT(ISNUMBER(I54)),NOT(ISNUMBER(O54))),"Incomplete or invalid scores",IF(OR(S54="",NOT(OR(T54="Open",T54="Planned",T54="In Progress",T54="Closed",T54="Accepted"))),"Missing owner or invalid status",IF(NOT(ISNUMBER(U54)),"Missing or invalid target date",IF(U54&lt;=0,"Missing or invalid target date",IF(NOT(OR(Q54="Mitigate",Q54="Accept",Q54="Transfer",Q54="Avoid")),"Invalid treatment",IF(AND(T54="Accepted",Q54&lt;&gt;"Accept"),"Treatment/status conflict",IF(OR(M54&gt;G54,N54&gt;H54),"Review residual increase","OK")))))))))))</x:f>
      </x:c>
      <x:c r="AE54" s="138" t="str">
        <x:f>IF(A54="","",IF(OR(Y54="",NOT(OR(Z54="Scenario only",Z54="Evidence requested",Z54="Evidence reviewed")),AA54="",NOT(ISNUMBER(AB54)),AF54="",AG54=""),"Add assessment support",IF(OR(AB54&lt;=0,AB54&gt;Methodology!$B$25),"Review date outside period",IF(AND(OR(T54="Closed",T54="Accepted"),OR(AC54="",Z54&lt;&gt;"Evidence reviewed")),"Closure review needed",IF(OR(T54="Closed",T54="Accepted"),"Decision recorded",IF(Z54="Evidence reviewed","Evidence recorded","Scenario documented"))))))</x:f>
      </x:c>
      <x:c r="AF54" s="128"/>
      <x:c r="AG54" s="128"/>
    </x:row>
    <x:row r="55" ht="40" customHeight="1">
      <x:c r="A55" s="128"/>
      <x:c r="B55" s="128"/>
      <x:c r="C55" s="128"/>
      <x:c r="D55" s="128"/>
      <x:c r="E55" s="128"/>
      <x:c r="F55" s="128"/>
      <x:c r="G55" s="128"/>
      <x:c r="H55" s="128"/>
      <x:c r="I55" s="138" t="str">
        <x:f>IF(A55="","",IF(COUNT(G55,H55)&lt;&gt;2,"",IF(AND(G55&gt;=1,G55&lt;=5,H55&gt;=1,H55&lt;=5,MOD(G55,1)=0,MOD(H55,1)=0),G55*H55,"")))</x:f>
      </x:c>
      <x:c r="J55" s="138" t="str">
        <x:f>IF(A55="","",IF(ISNUMBER(I55),IF(I55&gt;=16,"Critical",IF(I55&gt;=10,"High",IF(I55&gt;=5,"Medium","Low"))),"Not assessed"))</x:f>
      </x:c>
      <x:c r="K55" s="128"/>
      <x:c r="L55" s="128"/>
      <x:c r="M55" s="128"/>
      <x:c r="N55" s="128"/>
      <x:c r="O55" s="138" t="str">
        <x:f>IF(A55="","",IF(COUNT(M55,N55)&lt;&gt;2,"",IF(AND(M55&gt;=1,M55&lt;=5,N55&gt;=1,N55&lt;=5,MOD(M55,1)=0,MOD(N55,1)=0),M55*N55,"")))</x:f>
      </x:c>
      <x:c r="P55" s="138" t="str">
        <x:f>IF(A55="","",IF(ISNUMBER(O55),IF(O55&gt;=16,"Critical",IF(O55&gt;=10,"High",IF(O55&gt;=5,"Medium","Low"))),"Not assessed"))</x:f>
      </x:c>
      <x:c r="Q55" s="128"/>
      <x:c r="R55" s="128"/>
      <x:c r="S55" s="128"/>
      <x:c r="T55" s="128"/>
      <x:c r="U55" s="130"/>
      <x:c r="V55" s="128"/>
      <x:c r="W55" s="128"/>
      <x:c r="X55" s="128"/>
      <x:c r="Y55" s="128"/>
      <x:c r="Z55" s="128"/>
      <x:c r="AA55" s="128"/>
      <x:c r="AB55" s="130"/>
      <x:c r="AC55" s="128"/>
      <x:c r="AD55" s="138" t="str">
        <x:f>IF(COUNTA(A55:H55,K55:N55,Q55:AC55,AF55:AG55)=0,"",IF(A55="","Missing ID",IF(COUNTIF($A$5:$A$104,A55)&gt;1,"Duplicate ID",IF(OR(B55="",C55="",D55="",E55="",F55="",K55="",L55="",R55=""),"Missing assessment context",IF(OR(NOT(ISNUMBER(I55)),NOT(ISNUMBER(O55))),"Incomplete or invalid scores",IF(OR(S55="",NOT(OR(T55="Open",T55="Planned",T55="In Progress",T55="Closed",T55="Accepted"))),"Missing owner or invalid status",IF(NOT(ISNUMBER(U55)),"Missing or invalid target date",IF(U55&lt;=0,"Missing or invalid target date",IF(NOT(OR(Q55="Mitigate",Q55="Accept",Q55="Transfer",Q55="Avoid")),"Invalid treatment",IF(AND(T55="Accepted",Q55&lt;&gt;"Accept"),"Treatment/status conflict",IF(OR(M55&gt;G55,N55&gt;H55),"Review residual increase","OK")))))))))))</x:f>
      </x:c>
      <x:c r="AE55" s="138" t="str">
        <x:f>IF(A55="","",IF(OR(Y55="",NOT(OR(Z55="Scenario only",Z55="Evidence requested",Z55="Evidence reviewed")),AA55="",NOT(ISNUMBER(AB55)),AF55="",AG55=""),"Add assessment support",IF(OR(AB55&lt;=0,AB55&gt;Methodology!$B$25),"Review date outside period",IF(AND(OR(T55="Closed",T55="Accepted"),OR(AC55="",Z55&lt;&gt;"Evidence reviewed")),"Closure review needed",IF(OR(T55="Closed",T55="Accepted"),"Decision recorded",IF(Z55="Evidence reviewed","Evidence recorded","Scenario documented"))))))</x:f>
      </x:c>
      <x:c r="AF55" s="128"/>
      <x:c r="AG55" s="128"/>
    </x:row>
    <x:row r="56" ht="40" customHeight="1">
      <x:c r="A56" s="128"/>
      <x:c r="B56" s="128"/>
      <x:c r="C56" s="128"/>
      <x:c r="D56" s="128"/>
      <x:c r="E56" s="128"/>
      <x:c r="F56" s="128"/>
      <x:c r="G56" s="128"/>
      <x:c r="H56" s="128"/>
      <x:c r="I56" s="138" t="str">
        <x:f>IF(A56="","",IF(COUNT(G56,H56)&lt;&gt;2,"",IF(AND(G56&gt;=1,G56&lt;=5,H56&gt;=1,H56&lt;=5,MOD(G56,1)=0,MOD(H56,1)=0),G56*H56,"")))</x:f>
      </x:c>
      <x:c r="J56" s="138" t="str">
        <x:f>IF(A56="","",IF(ISNUMBER(I56),IF(I56&gt;=16,"Critical",IF(I56&gt;=10,"High",IF(I56&gt;=5,"Medium","Low"))),"Not assessed"))</x:f>
      </x:c>
      <x:c r="K56" s="128"/>
      <x:c r="L56" s="128"/>
      <x:c r="M56" s="128"/>
      <x:c r="N56" s="128"/>
      <x:c r="O56" s="138" t="str">
        <x:f>IF(A56="","",IF(COUNT(M56,N56)&lt;&gt;2,"",IF(AND(M56&gt;=1,M56&lt;=5,N56&gt;=1,N56&lt;=5,MOD(M56,1)=0,MOD(N56,1)=0),M56*N56,"")))</x:f>
      </x:c>
      <x:c r="P56" s="138" t="str">
        <x:f>IF(A56="","",IF(ISNUMBER(O56),IF(O56&gt;=16,"Critical",IF(O56&gt;=10,"High",IF(O56&gt;=5,"Medium","Low"))),"Not assessed"))</x:f>
      </x:c>
      <x:c r="Q56" s="128"/>
      <x:c r="R56" s="128"/>
      <x:c r="S56" s="128"/>
      <x:c r="T56" s="128"/>
      <x:c r="U56" s="130"/>
      <x:c r="V56" s="128"/>
      <x:c r="W56" s="128"/>
      <x:c r="X56" s="128"/>
      <x:c r="Y56" s="128"/>
      <x:c r="Z56" s="128"/>
      <x:c r="AA56" s="128"/>
      <x:c r="AB56" s="130"/>
      <x:c r="AC56" s="128"/>
      <x:c r="AD56" s="138" t="str">
        <x:f>IF(COUNTA(A56:H56,K56:N56,Q56:AC56,AF56:AG56)=0,"",IF(A56="","Missing ID",IF(COUNTIF($A$5:$A$104,A56)&gt;1,"Duplicate ID",IF(OR(B56="",C56="",D56="",E56="",F56="",K56="",L56="",R56=""),"Missing assessment context",IF(OR(NOT(ISNUMBER(I56)),NOT(ISNUMBER(O56))),"Incomplete or invalid scores",IF(OR(S56="",NOT(OR(T56="Open",T56="Planned",T56="In Progress",T56="Closed",T56="Accepted"))),"Missing owner or invalid status",IF(NOT(ISNUMBER(U56)),"Missing or invalid target date",IF(U56&lt;=0,"Missing or invalid target date",IF(NOT(OR(Q56="Mitigate",Q56="Accept",Q56="Transfer",Q56="Avoid")),"Invalid treatment",IF(AND(T56="Accepted",Q56&lt;&gt;"Accept"),"Treatment/status conflict",IF(OR(M56&gt;G56,N56&gt;H56),"Review residual increase","OK")))))))))))</x:f>
      </x:c>
      <x:c r="AE56" s="138" t="str">
        <x:f>IF(A56="","",IF(OR(Y56="",NOT(OR(Z56="Scenario only",Z56="Evidence requested",Z56="Evidence reviewed")),AA56="",NOT(ISNUMBER(AB56)),AF56="",AG56=""),"Add assessment support",IF(OR(AB56&lt;=0,AB56&gt;Methodology!$B$25),"Review date outside period",IF(AND(OR(T56="Closed",T56="Accepted"),OR(AC56="",Z56&lt;&gt;"Evidence reviewed")),"Closure review needed",IF(OR(T56="Closed",T56="Accepted"),"Decision recorded",IF(Z56="Evidence reviewed","Evidence recorded","Scenario documented"))))))</x:f>
      </x:c>
      <x:c r="AF56" s="128"/>
      <x:c r="AG56" s="128"/>
    </x:row>
    <x:row r="57" ht="40" customHeight="1">
      <x:c r="A57" s="128"/>
      <x:c r="B57" s="128"/>
      <x:c r="C57" s="128"/>
      <x:c r="D57" s="128"/>
      <x:c r="E57" s="128"/>
      <x:c r="F57" s="128"/>
      <x:c r="G57" s="128"/>
      <x:c r="H57" s="128"/>
      <x:c r="I57" s="138" t="str">
        <x:f>IF(A57="","",IF(COUNT(G57,H57)&lt;&gt;2,"",IF(AND(G57&gt;=1,G57&lt;=5,H57&gt;=1,H57&lt;=5,MOD(G57,1)=0,MOD(H57,1)=0),G57*H57,"")))</x:f>
      </x:c>
      <x:c r="J57" s="138" t="str">
        <x:f>IF(A57="","",IF(ISNUMBER(I57),IF(I57&gt;=16,"Critical",IF(I57&gt;=10,"High",IF(I57&gt;=5,"Medium","Low"))),"Not assessed"))</x:f>
      </x:c>
      <x:c r="K57" s="128"/>
      <x:c r="L57" s="128"/>
      <x:c r="M57" s="128"/>
      <x:c r="N57" s="128"/>
      <x:c r="O57" s="138" t="str">
        <x:f>IF(A57="","",IF(COUNT(M57,N57)&lt;&gt;2,"",IF(AND(M57&gt;=1,M57&lt;=5,N57&gt;=1,N57&lt;=5,MOD(M57,1)=0,MOD(N57,1)=0),M57*N57,"")))</x:f>
      </x:c>
      <x:c r="P57" s="138" t="str">
        <x:f>IF(A57="","",IF(ISNUMBER(O57),IF(O57&gt;=16,"Critical",IF(O57&gt;=10,"High",IF(O57&gt;=5,"Medium","Low"))),"Not assessed"))</x:f>
      </x:c>
      <x:c r="Q57" s="128"/>
      <x:c r="R57" s="128"/>
      <x:c r="S57" s="128"/>
      <x:c r="T57" s="128"/>
      <x:c r="U57" s="130"/>
      <x:c r="V57" s="128"/>
      <x:c r="W57" s="128"/>
      <x:c r="X57" s="128"/>
      <x:c r="Y57" s="128"/>
      <x:c r="Z57" s="128"/>
      <x:c r="AA57" s="128"/>
      <x:c r="AB57" s="130"/>
      <x:c r="AC57" s="128"/>
      <x:c r="AD57" s="138" t="str">
        <x:f>IF(COUNTA(A57:H57,K57:N57,Q57:AC57,AF57:AG57)=0,"",IF(A57="","Missing ID",IF(COUNTIF($A$5:$A$104,A57)&gt;1,"Duplicate ID",IF(OR(B57="",C57="",D57="",E57="",F57="",K57="",L57="",R57=""),"Missing assessment context",IF(OR(NOT(ISNUMBER(I57)),NOT(ISNUMBER(O57))),"Incomplete or invalid scores",IF(OR(S57="",NOT(OR(T57="Open",T57="Planned",T57="In Progress",T57="Closed",T57="Accepted"))),"Missing owner or invalid status",IF(NOT(ISNUMBER(U57)),"Missing or invalid target date",IF(U57&lt;=0,"Missing or invalid target date",IF(NOT(OR(Q57="Mitigate",Q57="Accept",Q57="Transfer",Q57="Avoid")),"Invalid treatment",IF(AND(T57="Accepted",Q57&lt;&gt;"Accept"),"Treatment/status conflict",IF(OR(M57&gt;G57,N57&gt;H57),"Review residual increase","OK")))))))))))</x:f>
      </x:c>
      <x:c r="AE57" s="138" t="str">
        <x:f>IF(A57="","",IF(OR(Y57="",NOT(OR(Z57="Scenario only",Z57="Evidence requested",Z57="Evidence reviewed")),AA57="",NOT(ISNUMBER(AB57)),AF57="",AG57=""),"Add assessment support",IF(OR(AB57&lt;=0,AB57&gt;Methodology!$B$25),"Review date outside period",IF(AND(OR(T57="Closed",T57="Accepted"),OR(AC57="",Z57&lt;&gt;"Evidence reviewed")),"Closure review needed",IF(OR(T57="Closed",T57="Accepted"),"Decision recorded",IF(Z57="Evidence reviewed","Evidence recorded","Scenario documented"))))))</x:f>
      </x:c>
      <x:c r="AF57" s="128"/>
      <x:c r="AG57" s="128"/>
    </x:row>
    <x:row r="58" ht="40" customHeight="1">
      <x:c r="A58" s="128"/>
      <x:c r="B58" s="128"/>
      <x:c r="C58" s="128"/>
      <x:c r="D58" s="128"/>
      <x:c r="E58" s="128"/>
      <x:c r="F58" s="128"/>
      <x:c r="G58" s="128"/>
      <x:c r="H58" s="128"/>
      <x:c r="I58" s="138" t="str">
        <x:f>IF(A58="","",IF(COUNT(G58,H58)&lt;&gt;2,"",IF(AND(G58&gt;=1,G58&lt;=5,H58&gt;=1,H58&lt;=5,MOD(G58,1)=0,MOD(H58,1)=0),G58*H58,"")))</x:f>
      </x:c>
      <x:c r="J58" s="138" t="str">
        <x:f>IF(A58="","",IF(ISNUMBER(I58),IF(I58&gt;=16,"Critical",IF(I58&gt;=10,"High",IF(I58&gt;=5,"Medium","Low"))),"Not assessed"))</x:f>
      </x:c>
      <x:c r="K58" s="128"/>
      <x:c r="L58" s="128"/>
      <x:c r="M58" s="128"/>
      <x:c r="N58" s="128"/>
      <x:c r="O58" s="138" t="str">
        <x:f>IF(A58="","",IF(COUNT(M58,N58)&lt;&gt;2,"",IF(AND(M58&gt;=1,M58&lt;=5,N58&gt;=1,N58&lt;=5,MOD(M58,1)=0,MOD(N58,1)=0),M58*N58,"")))</x:f>
      </x:c>
      <x:c r="P58" s="138" t="str">
        <x:f>IF(A58="","",IF(ISNUMBER(O58),IF(O58&gt;=16,"Critical",IF(O58&gt;=10,"High",IF(O58&gt;=5,"Medium","Low"))),"Not assessed"))</x:f>
      </x:c>
      <x:c r="Q58" s="128"/>
      <x:c r="R58" s="128"/>
      <x:c r="S58" s="128"/>
      <x:c r="T58" s="128"/>
      <x:c r="U58" s="130"/>
      <x:c r="V58" s="128"/>
      <x:c r="W58" s="128"/>
      <x:c r="X58" s="128"/>
      <x:c r="Y58" s="128"/>
      <x:c r="Z58" s="128"/>
      <x:c r="AA58" s="128"/>
      <x:c r="AB58" s="130"/>
      <x:c r="AC58" s="128"/>
      <x:c r="AD58" s="138" t="str">
        <x:f>IF(COUNTA(A58:H58,K58:N58,Q58:AC58,AF58:AG58)=0,"",IF(A58="","Missing ID",IF(COUNTIF($A$5:$A$104,A58)&gt;1,"Duplicate ID",IF(OR(B58="",C58="",D58="",E58="",F58="",K58="",L58="",R58=""),"Missing assessment context",IF(OR(NOT(ISNUMBER(I58)),NOT(ISNUMBER(O58))),"Incomplete or invalid scores",IF(OR(S58="",NOT(OR(T58="Open",T58="Planned",T58="In Progress",T58="Closed",T58="Accepted"))),"Missing owner or invalid status",IF(NOT(ISNUMBER(U58)),"Missing or invalid target date",IF(U58&lt;=0,"Missing or invalid target date",IF(NOT(OR(Q58="Mitigate",Q58="Accept",Q58="Transfer",Q58="Avoid")),"Invalid treatment",IF(AND(T58="Accepted",Q58&lt;&gt;"Accept"),"Treatment/status conflict",IF(OR(M58&gt;G58,N58&gt;H58),"Review residual increase","OK")))))))))))</x:f>
      </x:c>
      <x:c r="AE58" s="138" t="str">
        <x:f>IF(A58="","",IF(OR(Y58="",NOT(OR(Z58="Scenario only",Z58="Evidence requested",Z58="Evidence reviewed")),AA58="",NOT(ISNUMBER(AB58)),AF58="",AG58=""),"Add assessment support",IF(OR(AB58&lt;=0,AB58&gt;Methodology!$B$25),"Review date outside period",IF(AND(OR(T58="Closed",T58="Accepted"),OR(AC58="",Z58&lt;&gt;"Evidence reviewed")),"Closure review needed",IF(OR(T58="Closed",T58="Accepted"),"Decision recorded",IF(Z58="Evidence reviewed","Evidence recorded","Scenario documented"))))))</x:f>
      </x:c>
      <x:c r="AF58" s="128"/>
      <x:c r="AG58" s="128"/>
    </x:row>
    <x:row r="59" ht="40" customHeight="1">
      <x:c r="A59" s="128"/>
      <x:c r="B59" s="128"/>
      <x:c r="C59" s="128"/>
      <x:c r="D59" s="128"/>
      <x:c r="E59" s="128"/>
      <x:c r="F59" s="128"/>
      <x:c r="G59" s="128"/>
      <x:c r="H59" s="128"/>
      <x:c r="I59" s="138" t="str">
        <x:f>IF(A59="","",IF(COUNT(G59,H59)&lt;&gt;2,"",IF(AND(G59&gt;=1,G59&lt;=5,H59&gt;=1,H59&lt;=5,MOD(G59,1)=0,MOD(H59,1)=0),G59*H59,"")))</x:f>
      </x:c>
      <x:c r="J59" s="138" t="str">
        <x:f>IF(A59="","",IF(ISNUMBER(I59),IF(I59&gt;=16,"Critical",IF(I59&gt;=10,"High",IF(I59&gt;=5,"Medium","Low"))),"Not assessed"))</x:f>
      </x:c>
      <x:c r="K59" s="128"/>
      <x:c r="L59" s="128"/>
      <x:c r="M59" s="128"/>
      <x:c r="N59" s="128"/>
      <x:c r="O59" s="138" t="str">
        <x:f>IF(A59="","",IF(COUNT(M59,N59)&lt;&gt;2,"",IF(AND(M59&gt;=1,M59&lt;=5,N59&gt;=1,N59&lt;=5,MOD(M59,1)=0,MOD(N59,1)=0),M59*N59,"")))</x:f>
      </x:c>
      <x:c r="P59" s="138" t="str">
        <x:f>IF(A59="","",IF(ISNUMBER(O59),IF(O59&gt;=16,"Critical",IF(O59&gt;=10,"High",IF(O59&gt;=5,"Medium","Low"))),"Not assessed"))</x:f>
      </x:c>
      <x:c r="Q59" s="128"/>
      <x:c r="R59" s="128"/>
      <x:c r="S59" s="128"/>
      <x:c r="T59" s="128"/>
      <x:c r="U59" s="130"/>
      <x:c r="V59" s="128"/>
      <x:c r="W59" s="128"/>
      <x:c r="X59" s="128"/>
      <x:c r="Y59" s="128"/>
      <x:c r="Z59" s="128"/>
      <x:c r="AA59" s="128"/>
      <x:c r="AB59" s="130"/>
      <x:c r="AC59" s="128"/>
      <x:c r="AD59" s="138" t="str">
        <x:f>IF(COUNTA(A59:H59,K59:N59,Q59:AC59,AF59:AG59)=0,"",IF(A59="","Missing ID",IF(COUNTIF($A$5:$A$104,A59)&gt;1,"Duplicate ID",IF(OR(B59="",C59="",D59="",E59="",F59="",K59="",L59="",R59=""),"Missing assessment context",IF(OR(NOT(ISNUMBER(I59)),NOT(ISNUMBER(O59))),"Incomplete or invalid scores",IF(OR(S59="",NOT(OR(T59="Open",T59="Planned",T59="In Progress",T59="Closed",T59="Accepted"))),"Missing owner or invalid status",IF(NOT(ISNUMBER(U59)),"Missing or invalid target date",IF(U59&lt;=0,"Missing or invalid target date",IF(NOT(OR(Q59="Mitigate",Q59="Accept",Q59="Transfer",Q59="Avoid")),"Invalid treatment",IF(AND(T59="Accepted",Q59&lt;&gt;"Accept"),"Treatment/status conflict",IF(OR(M59&gt;G59,N59&gt;H59),"Review residual increase","OK")))))))))))</x:f>
      </x:c>
      <x:c r="AE59" s="138" t="str">
        <x:f>IF(A59="","",IF(OR(Y59="",NOT(OR(Z59="Scenario only",Z59="Evidence requested",Z59="Evidence reviewed")),AA59="",NOT(ISNUMBER(AB59)),AF59="",AG59=""),"Add assessment support",IF(OR(AB59&lt;=0,AB59&gt;Methodology!$B$25),"Review date outside period",IF(AND(OR(T59="Closed",T59="Accepted"),OR(AC59="",Z59&lt;&gt;"Evidence reviewed")),"Closure review needed",IF(OR(T59="Closed",T59="Accepted"),"Decision recorded",IF(Z59="Evidence reviewed","Evidence recorded","Scenario documented"))))))</x:f>
      </x:c>
      <x:c r="AF59" s="128"/>
      <x:c r="AG59" s="128"/>
    </x:row>
    <x:row r="60" ht="40" customHeight="1">
      <x:c r="A60" s="128"/>
      <x:c r="B60" s="128"/>
      <x:c r="C60" s="128"/>
      <x:c r="D60" s="128"/>
      <x:c r="E60" s="128"/>
      <x:c r="F60" s="128"/>
      <x:c r="G60" s="128"/>
      <x:c r="H60" s="128"/>
      <x:c r="I60" s="138" t="str">
        <x:f>IF(A60="","",IF(COUNT(G60,H60)&lt;&gt;2,"",IF(AND(G60&gt;=1,G60&lt;=5,H60&gt;=1,H60&lt;=5,MOD(G60,1)=0,MOD(H60,1)=0),G60*H60,"")))</x:f>
      </x:c>
      <x:c r="J60" s="138" t="str">
        <x:f>IF(A60="","",IF(ISNUMBER(I60),IF(I60&gt;=16,"Critical",IF(I60&gt;=10,"High",IF(I60&gt;=5,"Medium","Low"))),"Not assessed"))</x:f>
      </x:c>
      <x:c r="K60" s="128"/>
      <x:c r="L60" s="128"/>
      <x:c r="M60" s="128"/>
      <x:c r="N60" s="128"/>
      <x:c r="O60" s="138" t="str">
        <x:f>IF(A60="","",IF(COUNT(M60,N60)&lt;&gt;2,"",IF(AND(M60&gt;=1,M60&lt;=5,N60&gt;=1,N60&lt;=5,MOD(M60,1)=0,MOD(N60,1)=0),M60*N60,"")))</x:f>
      </x:c>
      <x:c r="P60" s="138" t="str">
        <x:f>IF(A60="","",IF(ISNUMBER(O60),IF(O60&gt;=16,"Critical",IF(O60&gt;=10,"High",IF(O60&gt;=5,"Medium","Low"))),"Not assessed"))</x:f>
      </x:c>
      <x:c r="Q60" s="128"/>
      <x:c r="R60" s="128"/>
      <x:c r="S60" s="128"/>
      <x:c r="T60" s="128"/>
      <x:c r="U60" s="130"/>
      <x:c r="V60" s="128"/>
      <x:c r="W60" s="128"/>
      <x:c r="X60" s="128"/>
      <x:c r="Y60" s="128"/>
      <x:c r="Z60" s="128"/>
      <x:c r="AA60" s="128"/>
      <x:c r="AB60" s="130"/>
      <x:c r="AC60" s="128"/>
      <x:c r="AD60" s="138" t="str">
        <x:f>IF(COUNTA(A60:H60,K60:N60,Q60:AC60,AF60:AG60)=0,"",IF(A60="","Missing ID",IF(COUNTIF($A$5:$A$104,A60)&gt;1,"Duplicate ID",IF(OR(B60="",C60="",D60="",E60="",F60="",K60="",L60="",R60=""),"Missing assessment context",IF(OR(NOT(ISNUMBER(I60)),NOT(ISNUMBER(O60))),"Incomplete or invalid scores",IF(OR(S60="",NOT(OR(T60="Open",T60="Planned",T60="In Progress",T60="Closed",T60="Accepted"))),"Missing owner or invalid status",IF(NOT(ISNUMBER(U60)),"Missing or invalid target date",IF(U60&lt;=0,"Missing or invalid target date",IF(NOT(OR(Q60="Mitigate",Q60="Accept",Q60="Transfer",Q60="Avoid")),"Invalid treatment",IF(AND(T60="Accepted",Q60&lt;&gt;"Accept"),"Treatment/status conflict",IF(OR(M60&gt;G60,N60&gt;H60),"Review residual increase","OK")))))))))))</x:f>
      </x:c>
      <x:c r="AE60" s="138" t="str">
        <x:f>IF(A60="","",IF(OR(Y60="",NOT(OR(Z60="Scenario only",Z60="Evidence requested",Z60="Evidence reviewed")),AA60="",NOT(ISNUMBER(AB60)),AF60="",AG60=""),"Add assessment support",IF(OR(AB60&lt;=0,AB60&gt;Methodology!$B$25),"Review date outside period",IF(AND(OR(T60="Closed",T60="Accepted"),OR(AC60="",Z60&lt;&gt;"Evidence reviewed")),"Closure review needed",IF(OR(T60="Closed",T60="Accepted"),"Decision recorded",IF(Z60="Evidence reviewed","Evidence recorded","Scenario documented"))))))</x:f>
      </x:c>
      <x:c r="AF60" s="128"/>
      <x:c r="AG60" s="128"/>
    </x:row>
    <x:row r="61" ht="40" customHeight="1">
      <x:c r="A61" s="128"/>
      <x:c r="B61" s="128"/>
      <x:c r="C61" s="128"/>
      <x:c r="D61" s="128"/>
      <x:c r="E61" s="128"/>
      <x:c r="F61" s="128"/>
      <x:c r="G61" s="128"/>
      <x:c r="H61" s="128"/>
      <x:c r="I61" s="138" t="str">
        <x:f>IF(A61="","",IF(COUNT(G61,H61)&lt;&gt;2,"",IF(AND(G61&gt;=1,G61&lt;=5,H61&gt;=1,H61&lt;=5,MOD(G61,1)=0,MOD(H61,1)=0),G61*H61,"")))</x:f>
      </x:c>
      <x:c r="J61" s="138" t="str">
        <x:f>IF(A61="","",IF(ISNUMBER(I61),IF(I61&gt;=16,"Critical",IF(I61&gt;=10,"High",IF(I61&gt;=5,"Medium","Low"))),"Not assessed"))</x:f>
      </x:c>
      <x:c r="K61" s="128"/>
      <x:c r="L61" s="128"/>
      <x:c r="M61" s="128"/>
      <x:c r="N61" s="128"/>
      <x:c r="O61" s="138" t="str">
        <x:f>IF(A61="","",IF(COUNT(M61,N61)&lt;&gt;2,"",IF(AND(M61&gt;=1,M61&lt;=5,N61&gt;=1,N61&lt;=5,MOD(M61,1)=0,MOD(N61,1)=0),M61*N61,"")))</x:f>
      </x:c>
      <x:c r="P61" s="138" t="str">
        <x:f>IF(A61="","",IF(ISNUMBER(O61),IF(O61&gt;=16,"Critical",IF(O61&gt;=10,"High",IF(O61&gt;=5,"Medium","Low"))),"Not assessed"))</x:f>
      </x:c>
      <x:c r="Q61" s="128"/>
      <x:c r="R61" s="128"/>
      <x:c r="S61" s="128"/>
      <x:c r="T61" s="128"/>
      <x:c r="U61" s="130"/>
      <x:c r="V61" s="128"/>
      <x:c r="W61" s="128"/>
      <x:c r="X61" s="128"/>
      <x:c r="Y61" s="128"/>
      <x:c r="Z61" s="128"/>
      <x:c r="AA61" s="128"/>
      <x:c r="AB61" s="130"/>
      <x:c r="AC61" s="128"/>
      <x:c r="AD61" s="138" t="str">
        <x:f>IF(COUNTA(A61:H61,K61:N61,Q61:AC61,AF61:AG61)=0,"",IF(A61="","Missing ID",IF(COUNTIF($A$5:$A$104,A61)&gt;1,"Duplicate ID",IF(OR(B61="",C61="",D61="",E61="",F61="",K61="",L61="",R61=""),"Missing assessment context",IF(OR(NOT(ISNUMBER(I61)),NOT(ISNUMBER(O61))),"Incomplete or invalid scores",IF(OR(S61="",NOT(OR(T61="Open",T61="Planned",T61="In Progress",T61="Closed",T61="Accepted"))),"Missing owner or invalid status",IF(NOT(ISNUMBER(U61)),"Missing or invalid target date",IF(U61&lt;=0,"Missing or invalid target date",IF(NOT(OR(Q61="Mitigate",Q61="Accept",Q61="Transfer",Q61="Avoid")),"Invalid treatment",IF(AND(T61="Accepted",Q61&lt;&gt;"Accept"),"Treatment/status conflict",IF(OR(M61&gt;G61,N61&gt;H61),"Review residual increase","OK")))))))))))</x:f>
      </x:c>
      <x:c r="AE61" s="138" t="str">
        <x:f>IF(A61="","",IF(OR(Y61="",NOT(OR(Z61="Scenario only",Z61="Evidence requested",Z61="Evidence reviewed")),AA61="",NOT(ISNUMBER(AB61)),AF61="",AG61=""),"Add assessment support",IF(OR(AB61&lt;=0,AB61&gt;Methodology!$B$25),"Review date outside period",IF(AND(OR(T61="Closed",T61="Accepted"),OR(AC61="",Z61&lt;&gt;"Evidence reviewed")),"Closure review needed",IF(OR(T61="Closed",T61="Accepted"),"Decision recorded",IF(Z61="Evidence reviewed","Evidence recorded","Scenario documented"))))))</x:f>
      </x:c>
      <x:c r="AF61" s="128"/>
      <x:c r="AG61" s="128"/>
    </x:row>
    <x:row r="62" ht="40" customHeight="1">
      <x:c r="A62" s="128"/>
      <x:c r="B62" s="128"/>
      <x:c r="C62" s="128"/>
      <x:c r="D62" s="128"/>
      <x:c r="E62" s="128"/>
      <x:c r="F62" s="128"/>
      <x:c r="G62" s="128"/>
      <x:c r="H62" s="128"/>
      <x:c r="I62" s="138" t="str">
        <x:f>IF(A62="","",IF(COUNT(G62,H62)&lt;&gt;2,"",IF(AND(G62&gt;=1,G62&lt;=5,H62&gt;=1,H62&lt;=5,MOD(G62,1)=0,MOD(H62,1)=0),G62*H62,"")))</x:f>
      </x:c>
      <x:c r="J62" s="138" t="str">
        <x:f>IF(A62="","",IF(ISNUMBER(I62),IF(I62&gt;=16,"Critical",IF(I62&gt;=10,"High",IF(I62&gt;=5,"Medium","Low"))),"Not assessed"))</x:f>
      </x:c>
      <x:c r="K62" s="128"/>
      <x:c r="L62" s="128"/>
      <x:c r="M62" s="128"/>
      <x:c r="N62" s="128"/>
      <x:c r="O62" s="138" t="str">
        <x:f>IF(A62="","",IF(COUNT(M62,N62)&lt;&gt;2,"",IF(AND(M62&gt;=1,M62&lt;=5,N62&gt;=1,N62&lt;=5,MOD(M62,1)=0,MOD(N62,1)=0),M62*N62,"")))</x:f>
      </x:c>
      <x:c r="P62" s="138" t="str">
        <x:f>IF(A62="","",IF(ISNUMBER(O62),IF(O62&gt;=16,"Critical",IF(O62&gt;=10,"High",IF(O62&gt;=5,"Medium","Low"))),"Not assessed"))</x:f>
      </x:c>
      <x:c r="Q62" s="128"/>
      <x:c r="R62" s="128"/>
      <x:c r="S62" s="128"/>
      <x:c r="T62" s="128"/>
      <x:c r="U62" s="130"/>
      <x:c r="V62" s="128"/>
      <x:c r="W62" s="128"/>
      <x:c r="X62" s="128"/>
      <x:c r="Y62" s="128"/>
      <x:c r="Z62" s="128"/>
      <x:c r="AA62" s="128"/>
      <x:c r="AB62" s="130"/>
      <x:c r="AC62" s="128"/>
      <x:c r="AD62" s="138" t="str">
        <x:f>IF(COUNTA(A62:H62,K62:N62,Q62:AC62,AF62:AG62)=0,"",IF(A62="","Missing ID",IF(COUNTIF($A$5:$A$104,A62)&gt;1,"Duplicate ID",IF(OR(B62="",C62="",D62="",E62="",F62="",K62="",L62="",R62=""),"Missing assessment context",IF(OR(NOT(ISNUMBER(I62)),NOT(ISNUMBER(O62))),"Incomplete or invalid scores",IF(OR(S62="",NOT(OR(T62="Open",T62="Planned",T62="In Progress",T62="Closed",T62="Accepted"))),"Missing owner or invalid status",IF(NOT(ISNUMBER(U62)),"Missing or invalid target date",IF(U62&lt;=0,"Missing or invalid target date",IF(NOT(OR(Q62="Mitigate",Q62="Accept",Q62="Transfer",Q62="Avoid")),"Invalid treatment",IF(AND(T62="Accepted",Q62&lt;&gt;"Accept"),"Treatment/status conflict",IF(OR(M62&gt;G62,N62&gt;H62),"Review residual increase","OK")))))))))))</x:f>
      </x:c>
      <x:c r="AE62" s="138" t="str">
        <x:f>IF(A62="","",IF(OR(Y62="",NOT(OR(Z62="Scenario only",Z62="Evidence requested",Z62="Evidence reviewed")),AA62="",NOT(ISNUMBER(AB62)),AF62="",AG62=""),"Add assessment support",IF(OR(AB62&lt;=0,AB62&gt;Methodology!$B$25),"Review date outside period",IF(AND(OR(T62="Closed",T62="Accepted"),OR(AC62="",Z62&lt;&gt;"Evidence reviewed")),"Closure review needed",IF(OR(T62="Closed",T62="Accepted"),"Decision recorded",IF(Z62="Evidence reviewed","Evidence recorded","Scenario documented"))))))</x:f>
      </x:c>
      <x:c r="AF62" s="128"/>
      <x:c r="AG62" s="128"/>
    </x:row>
    <x:row r="63" ht="40" customHeight="1">
      <x:c r="A63" s="128"/>
      <x:c r="B63" s="128"/>
      <x:c r="C63" s="128"/>
      <x:c r="D63" s="128"/>
      <x:c r="E63" s="128"/>
      <x:c r="F63" s="128"/>
      <x:c r="G63" s="128"/>
      <x:c r="H63" s="128"/>
      <x:c r="I63" s="138" t="str">
        <x:f>IF(A63="","",IF(COUNT(G63,H63)&lt;&gt;2,"",IF(AND(G63&gt;=1,G63&lt;=5,H63&gt;=1,H63&lt;=5,MOD(G63,1)=0,MOD(H63,1)=0),G63*H63,"")))</x:f>
      </x:c>
      <x:c r="J63" s="138" t="str">
        <x:f>IF(A63="","",IF(ISNUMBER(I63),IF(I63&gt;=16,"Critical",IF(I63&gt;=10,"High",IF(I63&gt;=5,"Medium","Low"))),"Not assessed"))</x:f>
      </x:c>
      <x:c r="K63" s="128"/>
      <x:c r="L63" s="128"/>
      <x:c r="M63" s="128"/>
      <x:c r="N63" s="128"/>
      <x:c r="O63" s="138" t="str">
        <x:f>IF(A63="","",IF(COUNT(M63,N63)&lt;&gt;2,"",IF(AND(M63&gt;=1,M63&lt;=5,N63&gt;=1,N63&lt;=5,MOD(M63,1)=0,MOD(N63,1)=0),M63*N63,"")))</x:f>
      </x:c>
      <x:c r="P63" s="138" t="str">
        <x:f>IF(A63="","",IF(ISNUMBER(O63),IF(O63&gt;=16,"Critical",IF(O63&gt;=10,"High",IF(O63&gt;=5,"Medium","Low"))),"Not assessed"))</x:f>
      </x:c>
      <x:c r="Q63" s="128"/>
      <x:c r="R63" s="128"/>
      <x:c r="S63" s="128"/>
      <x:c r="T63" s="128"/>
      <x:c r="U63" s="130"/>
      <x:c r="V63" s="128"/>
      <x:c r="W63" s="128"/>
      <x:c r="X63" s="128"/>
      <x:c r="Y63" s="128"/>
      <x:c r="Z63" s="128"/>
      <x:c r="AA63" s="128"/>
      <x:c r="AB63" s="130"/>
      <x:c r="AC63" s="128"/>
      <x:c r="AD63" s="138" t="str">
        <x:f>IF(COUNTA(A63:H63,K63:N63,Q63:AC63,AF63:AG63)=0,"",IF(A63="","Missing ID",IF(COUNTIF($A$5:$A$104,A63)&gt;1,"Duplicate ID",IF(OR(B63="",C63="",D63="",E63="",F63="",K63="",L63="",R63=""),"Missing assessment context",IF(OR(NOT(ISNUMBER(I63)),NOT(ISNUMBER(O63))),"Incomplete or invalid scores",IF(OR(S63="",NOT(OR(T63="Open",T63="Planned",T63="In Progress",T63="Closed",T63="Accepted"))),"Missing owner or invalid status",IF(NOT(ISNUMBER(U63)),"Missing or invalid target date",IF(U63&lt;=0,"Missing or invalid target date",IF(NOT(OR(Q63="Mitigate",Q63="Accept",Q63="Transfer",Q63="Avoid")),"Invalid treatment",IF(AND(T63="Accepted",Q63&lt;&gt;"Accept"),"Treatment/status conflict",IF(OR(M63&gt;G63,N63&gt;H63),"Review residual increase","OK")))))))))))</x:f>
      </x:c>
      <x:c r="AE63" s="138" t="str">
        <x:f>IF(A63="","",IF(OR(Y63="",NOT(OR(Z63="Scenario only",Z63="Evidence requested",Z63="Evidence reviewed")),AA63="",NOT(ISNUMBER(AB63)),AF63="",AG63=""),"Add assessment support",IF(OR(AB63&lt;=0,AB63&gt;Methodology!$B$25),"Review date outside period",IF(AND(OR(T63="Closed",T63="Accepted"),OR(AC63="",Z63&lt;&gt;"Evidence reviewed")),"Closure review needed",IF(OR(T63="Closed",T63="Accepted"),"Decision recorded",IF(Z63="Evidence reviewed","Evidence recorded","Scenario documented"))))))</x:f>
      </x:c>
      <x:c r="AF63" s="128"/>
      <x:c r="AG63" s="128"/>
    </x:row>
    <x:row r="64" ht="40" customHeight="1">
      <x:c r="A64" s="128"/>
      <x:c r="B64" s="128"/>
      <x:c r="C64" s="128"/>
      <x:c r="D64" s="128"/>
      <x:c r="E64" s="128"/>
      <x:c r="F64" s="128"/>
      <x:c r="G64" s="128"/>
      <x:c r="H64" s="128"/>
      <x:c r="I64" s="138" t="str">
        <x:f>IF(A64="","",IF(COUNT(G64,H64)&lt;&gt;2,"",IF(AND(G64&gt;=1,G64&lt;=5,H64&gt;=1,H64&lt;=5,MOD(G64,1)=0,MOD(H64,1)=0),G64*H64,"")))</x:f>
      </x:c>
      <x:c r="J64" s="138" t="str">
        <x:f>IF(A64="","",IF(ISNUMBER(I64),IF(I64&gt;=16,"Critical",IF(I64&gt;=10,"High",IF(I64&gt;=5,"Medium","Low"))),"Not assessed"))</x:f>
      </x:c>
      <x:c r="K64" s="128"/>
      <x:c r="L64" s="128"/>
      <x:c r="M64" s="128"/>
      <x:c r="N64" s="128"/>
      <x:c r="O64" s="138" t="str">
        <x:f>IF(A64="","",IF(COUNT(M64,N64)&lt;&gt;2,"",IF(AND(M64&gt;=1,M64&lt;=5,N64&gt;=1,N64&lt;=5,MOD(M64,1)=0,MOD(N64,1)=0),M64*N64,"")))</x:f>
      </x:c>
      <x:c r="P64" s="138" t="str">
        <x:f>IF(A64="","",IF(ISNUMBER(O64),IF(O64&gt;=16,"Critical",IF(O64&gt;=10,"High",IF(O64&gt;=5,"Medium","Low"))),"Not assessed"))</x:f>
      </x:c>
      <x:c r="Q64" s="128"/>
      <x:c r="R64" s="128"/>
      <x:c r="S64" s="128"/>
      <x:c r="T64" s="128"/>
      <x:c r="U64" s="130"/>
      <x:c r="V64" s="128"/>
      <x:c r="W64" s="128"/>
      <x:c r="X64" s="128"/>
      <x:c r="Y64" s="128"/>
      <x:c r="Z64" s="128"/>
      <x:c r="AA64" s="128"/>
      <x:c r="AB64" s="130"/>
      <x:c r="AC64" s="128"/>
      <x:c r="AD64" s="138" t="str">
        <x:f>IF(COUNTA(A64:H64,K64:N64,Q64:AC64,AF64:AG64)=0,"",IF(A64="","Missing ID",IF(COUNTIF($A$5:$A$104,A64)&gt;1,"Duplicate ID",IF(OR(B64="",C64="",D64="",E64="",F64="",K64="",L64="",R64=""),"Missing assessment context",IF(OR(NOT(ISNUMBER(I64)),NOT(ISNUMBER(O64))),"Incomplete or invalid scores",IF(OR(S64="",NOT(OR(T64="Open",T64="Planned",T64="In Progress",T64="Closed",T64="Accepted"))),"Missing owner or invalid status",IF(NOT(ISNUMBER(U64)),"Missing or invalid target date",IF(U64&lt;=0,"Missing or invalid target date",IF(NOT(OR(Q64="Mitigate",Q64="Accept",Q64="Transfer",Q64="Avoid")),"Invalid treatment",IF(AND(T64="Accepted",Q64&lt;&gt;"Accept"),"Treatment/status conflict",IF(OR(M64&gt;G64,N64&gt;H64),"Review residual increase","OK")))))))))))</x:f>
      </x:c>
      <x:c r="AE64" s="138" t="str">
        <x:f>IF(A64="","",IF(OR(Y64="",NOT(OR(Z64="Scenario only",Z64="Evidence requested",Z64="Evidence reviewed")),AA64="",NOT(ISNUMBER(AB64)),AF64="",AG64=""),"Add assessment support",IF(OR(AB64&lt;=0,AB64&gt;Methodology!$B$25),"Review date outside period",IF(AND(OR(T64="Closed",T64="Accepted"),OR(AC64="",Z64&lt;&gt;"Evidence reviewed")),"Closure review needed",IF(OR(T64="Closed",T64="Accepted"),"Decision recorded",IF(Z64="Evidence reviewed","Evidence recorded","Scenario documented"))))))</x:f>
      </x:c>
      <x:c r="AF64" s="128"/>
      <x:c r="AG64" s="128"/>
    </x:row>
    <x:row r="65" ht="40" customHeight="1">
      <x:c r="A65" s="128"/>
      <x:c r="B65" s="128"/>
      <x:c r="C65" s="128"/>
      <x:c r="D65" s="128"/>
      <x:c r="E65" s="128"/>
      <x:c r="F65" s="128"/>
      <x:c r="G65" s="128"/>
      <x:c r="H65" s="128"/>
      <x:c r="I65" s="138" t="str">
        <x:f>IF(A65="","",IF(COUNT(G65,H65)&lt;&gt;2,"",IF(AND(G65&gt;=1,G65&lt;=5,H65&gt;=1,H65&lt;=5,MOD(G65,1)=0,MOD(H65,1)=0),G65*H65,"")))</x:f>
      </x:c>
      <x:c r="J65" s="138" t="str">
        <x:f>IF(A65="","",IF(ISNUMBER(I65),IF(I65&gt;=16,"Critical",IF(I65&gt;=10,"High",IF(I65&gt;=5,"Medium","Low"))),"Not assessed"))</x:f>
      </x:c>
      <x:c r="K65" s="128"/>
      <x:c r="L65" s="128"/>
      <x:c r="M65" s="128"/>
      <x:c r="N65" s="128"/>
      <x:c r="O65" s="138" t="str">
        <x:f>IF(A65="","",IF(COUNT(M65,N65)&lt;&gt;2,"",IF(AND(M65&gt;=1,M65&lt;=5,N65&gt;=1,N65&lt;=5,MOD(M65,1)=0,MOD(N65,1)=0),M65*N65,"")))</x:f>
      </x:c>
      <x:c r="P65" s="138" t="str">
        <x:f>IF(A65="","",IF(ISNUMBER(O65),IF(O65&gt;=16,"Critical",IF(O65&gt;=10,"High",IF(O65&gt;=5,"Medium","Low"))),"Not assessed"))</x:f>
      </x:c>
      <x:c r="Q65" s="128"/>
      <x:c r="R65" s="128"/>
      <x:c r="S65" s="128"/>
      <x:c r="T65" s="128"/>
      <x:c r="U65" s="130"/>
      <x:c r="V65" s="128"/>
      <x:c r="W65" s="128"/>
      <x:c r="X65" s="128"/>
      <x:c r="Y65" s="128"/>
      <x:c r="Z65" s="128"/>
      <x:c r="AA65" s="128"/>
      <x:c r="AB65" s="130"/>
      <x:c r="AC65" s="128"/>
      <x:c r="AD65" s="138" t="str">
        <x:f>IF(COUNTA(A65:H65,K65:N65,Q65:AC65,AF65:AG65)=0,"",IF(A65="","Missing ID",IF(COUNTIF($A$5:$A$104,A65)&gt;1,"Duplicate ID",IF(OR(B65="",C65="",D65="",E65="",F65="",K65="",L65="",R65=""),"Missing assessment context",IF(OR(NOT(ISNUMBER(I65)),NOT(ISNUMBER(O65))),"Incomplete or invalid scores",IF(OR(S65="",NOT(OR(T65="Open",T65="Planned",T65="In Progress",T65="Closed",T65="Accepted"))),"Missing owner or invalid status",IF(NOT(ISNUMBER(U65)),"Missing or invalid target date",IF(U65&lt;=0,"Missing or invalid target date",IF(NOT(OR(Q65="Mitigate",Q65="Accept",Q65="Transfer",Q65="Avoid")),"Invalid treatment",IF(AND(T65="Accepted",Q65&lt;&gt;"Accept"),"Treatment/status conflict",IF(OR(M65&gt;G65,N65&gt;H65),"Review residual increase","OK")))))))))))</x:f>
      </x:c>
      <x:c r="AE65" s="138" t="str">
        <x:f>IF(A65="","",IF(OR(Y65="",NOT(OR(Z65="Scenario only",Z65="Evidence requested",Z65="Evidence reviewed")),AA65="",NOT(ISNUMBER(AB65)),AF65="",AG65=""),"Add assessment support",IF(OR(AB65&lt;=0,AB65&gt;Methodology!$B$25),"Review date outside period",IF(AND(OR(T65="Closed",T65="Accepted"),OR(AC65="",Z65&lt;&gt;"Evidence reviewed")),"Closure review needed",IF(OR(T65="Closed",T65="Accepted"),"Decision recorded",IF(Z65="Evidence reviewed","Evidence recorded","Scenario documented"))))))</x:f>
      </x:c>
      <x:c r="AF65" s="128"/>
      <x:c r="AG65" s="128"/>
    </x:row>
    <x:row r="66" ht="40" customHeight="1">
      <x:c r="A66" s="128"/>
      <x:c r="B66" s="128"/>
      <x:c r="C66" s="128"/>
      <x:c r="D66" s="128"/>
      <x:c r="E66" s="128"/>
      <x:c r="F66" s="128"/>
      <x:c r="G66" s="128"/>
      <x:c r="H66" s="128"/>
      <x:c r="I66" s="138" t="str">
        <x:f>IF(A66="","",IF(COUNT(G66,H66)&lt;&gt;2,"",IF(AND(G66&gt;=1,G66&lt;=5,H66&gt;=1,H66&lt;=5,MOD(G66,1)=0,MOD(H66,1)=0),G66*H66,"")))</x:f>
      </x:c>
      <x:c r="J66" s="138" t="str">
        <x:f>IF(A66="","",IF(ISNUMBER(I66),IF(I66&gt;=16,"Critical",IF(I66&gt;=10,"High",IF(I66&gt;=5,"Medium","Low"))),"Not assessed"))</x:f>
      </x:c>
      <x:c r="K66" s="128"/>
      <x:c r="L66" s="128"/>
      <x:c r="M66" s="128"/>
      <x:c r="N66" s="128"/>
      <x:c r="O66" s="138" t="str">
        <x:f>IF(A66="","",IF(COUNT(M66,N66)&lt;&gt;2,"",IF(AND(M66&gt;=1,M66&lt;=5,N66&gt;=1,N66&lt;=5,MOD(M66,1)=0,MOD(N66,1)=0),M66*N66,"")))</x:f>
      </x:c>
      <x:c r="P66" s="138" t="str">
        <x:f>IF(A66="","",IF(ISNUMBER(O66),IF(O66&gt;=16,"Critical",IF(O66&gt;=10,"High",IF(O66&gt;=5,"Medium","Low"))),"Not assessed"))</x:f>
      </x:c>
      <x:c r="Q66" s="128"/>
      <x:c r="R66" s="128"/>
      <x:c r="S66" s="128"/>
      <x:c r="T66" s="128"/>
      <x:c r="U66" s="130"/>
      <x:c r="V66" s="128"/>
      <x:c r="W66" s="128"/>
      <x:c r="X66" s="128"/>
      <x:c r="Y66" s="128"/>
      <x:c r="Z66" s="128"/>
      <x:c r="AA66" s="128"/>
      <x:c r="AB66" s="130"/>
      <x:c r="AC66" s="128"/>
      <x:c r="AD66" s="138" t="str">
        <x:f>IF(COUNTA(A66:H66,K66:N66,Q66:AC66,AF66:AG66)=0,"",IF(A66="","Missing ID",IF(COUNTIF($A$5:$A$104,A66)&gt;1,"Duplicate ID",IF(OR(B66="",C66="",D66="",E66="",F66="",K66="",L66="",R66=""),"Missing assessment context",IF(OR(NOT(ISNUMBER(I66)),NOT(ISNUMBER(O66))),"Incomplete or invalid scores",IF(OR(S66="",NOT(OR(T66="Open",T66="Planned",T66="In Progress",T66="Closed",T66="Accepted"))),"Missing owner or invalid status",IF(NOT(ISNUMBER(U66)),"Missing or invalid target date",IF(U66&lt;=0,"Missing or invalid target date",IF(NOT(OR(Q66="Mitigate",Q66="Accept",Q66="Transfer",Q66="Avoid")),"Invalid treatment",IF(AND(T66="Accepted",Q66&lt;&gt;"Accept"),"Treatment/status conflict",IF(OR(M66&gt;G66,N66&gt;H66),"Review residual increase","OK")))))))))))</x:f>
      </x:c>
      <x:c r="AE66" s="138" t="str">
        <x:f>IF(A66="","",IF(OR(Y66="",NOT(OR(Z66="Scenario only",Z66="Evidence requested",Z66="Evidence reviewed")),AA66="",NOT(ISNUMBER(AB66)),AF66="",AG66=""),"Add assessment support",IF(OR(AB66&lt;=0,AB66&gt;Methodology!$B$25),"Review date outside period",IF(AND(OR(T66="Closed",T66="Accepted"),OR(AC66="",Z66&lt;&gt;"Evidence reviewed")),"Closure review needed",IF(OR(T66="Closed",T66="Accepted"),"Decision recorded",IF(Z66="Evidence reviewed","Evidence recorded","Scenario documented"))))))</x:f>
      </x:c>
      <x:c r="AF66" s="128"/>
      <x:c r="AG66" s="128"/>
    </x:row>
    <x:row r="67" ht="40" customHeight="1">
      <x:c r="A67" s="128"/>
      <x:c r="B67" s="128"/>
      <x:c r="C67" s="128"/>
      <x:c r="D67" s="128"/>
      <x:c r="E67" s="128"/>
      <x:c r="F67" s="128"/>
      <x:c r="G67" s="128"/>
      <x:c r="H67" s="128"/>
      <x:c r="I67" s="138" t="str">
        <x:f>IF(A67="","",IF(COUNT(G67,H67)&lt;&gt;2,"",IF(AND(G67&gt;=1,G67&lt;=5,H67&gt;=1,H67&lt;=5,MOD(G67,1)=0,MOD(H67,1)=0),G67*H67,"")))</x:f>
      </x:c>
      <x:c r="J67" s="138" t="str">
        <x:f>IF(A67="","",IF(ISNUMBER(I67),IF(I67&gt;=16,"Critical",IF(I67&gt;=10,"High",IF(I67&gt;=5,"Medium","Low"))),"Not assessed"))</x:f>
      </x:c>
      <x:c r="K67" s="128"/>
      <x:c r="L67" s="128"/>
      <x:c r="M67" s="128"/>
      <x:c r="N67" s="128"/>
      <x:c r="O67" s="138" t="str">
        <x:f>IF(A67="","",IF(COUNT(M67,N67)&lt;&gt;2,"",IF(AND(M67&gt;=1,M67&lt;=5,N67&gt;=1,N67&lt;=5,MOD(M67,1)=0,MOD(N67,1)=0),M67*N67,"")))</x:f>
      </x:c>
      <x:c r="P67" s="138" t="str">
        <x:f>IF(A67="","",IF(ISNUMBER(O67),IF(O67&gt;=16,"Critical",IF(O67&gt;=10,"High",IF(O67&gt;=5,"Medium","Low"))),"Not assessed"))</x:f>
      </x:c>
      <x:c r="Q67" s="128"/>
      <x:c r="R67" s="128"/>
      <x:c r="S67" s="128"/>
      <x:c r="T67" s="128"/>
      <x:c r="U67" s="130"/>
      <x:c r="V67" s="128"/>
      <x:c r="W67" s="128"/>
      <x:c r="X67" s="128"/>
      <x:c r="Y67" s="128"/>
      <x:c r="Z67" s="128"/>
      <x:c r="AA67" s="128"/>
      <x:c r="AB67" s="130"/>
      <x:c r="AC67" s="128"/>
      <x:c r="AD67" s="138" t="str">
        <x:f>IF(COUNTA(A67:H67,K67:N67,Q67:AC67,AF67:AG67)=0,"",IF(A67="","Missing ID",IF(COUNTIF($A$5:$A$104,A67)&gt;1,"Duplicate ID",IF(OR(B67="",C67="",D67="",E67="",F67="",K67="",L67="",R67=""),"Missing assessment context",IF(OR(NOT(ISNUMBER(I67)),NOT(ISNUMBER(O67))),"Incomplete or invalid scores",IF(OR(S67="",NOT(OR(T67="Open",T67="Planned",T67="In Progress",T67="Closed",T67="Accepted"))),"Missing owner or invalid status",IF(NOT(ISNUMBER(U67)),"Missing or invalid target date",IF(U67&lt;=0,"Missing or invalid target date",IF(NOT(OR(Q67="Mitigate",Q67="Accept",Q67="Transfer",Q67="Avoid")),"Invalid treatment",IF(AND(T67="Accepted",Q67&lt;&gt;"Accept"),"Treatment/status conflict",IF(OR(M67&gt;G67,N67&gt;H67),"Review residual increase","OK")))))))))))</x:f>
      </x:c>
      <x:c r="AE67" s="138" t="str">
        <x:f>IF(A67="","",IF(OR(Y67="",NOT(OR(Z67="Scenario only",Z67="Evidence requested",Z67="Evidence reviewed")),AA67="",NOT(ISNUMBER(AB67)),AF67="",AG67=""),"Add assessment support",IF(OR(AB67&lt;=0,AB67&gt;Methodology!$B$25),"Review date outside period",IF(AND(OR(T67="Closed",T67="Accepted"),OR(AC67="",Z67&lt;&gt;"Evidence reviewed")),"Closure review needed",IF(OR(T67="Closed",T67="Accepted"),"Decision recorded",IF(Z67="Evidence reviewed","Evidence recorded","Scenario documented"))))))</x:f>
      </x:c>
      <x:c r="AF67" s="128"/>
      <x:c r="AG67" s="128"/>
    </x:row>
    <x:row r="68" ht="40" customHeight="1">
      <x:c r="A68" s="128"/>
      <x:c r="B68" s="128"/>
      <x:c r="C68" s="128"/>
      <x:c r="D68" s="128"/>
      <x:c r="E68" s="128"/>
      <x:c r="F68" s="128"/>
      <x:c r="G68" s="128"/>
      <x:c r="H68" s="128"/>
      <x:c r="I68" s="138" t="str">
        <x:f>IF(A68="","",IF(COUNT(G68,H68)&lt;&gt;2,"",IF(AND(G68&gt;=1,G68&lt;=5,H68&gt;=1,H68&lt;=5,MOD(G68,1)=0,MOD(H68,1)=0),G68*H68,"")))</x:f>
      </x:c>
      <x:c r="J68" s="138" t="str">
        <x:f>IF(A68="","",IF(ISNUMBER(I68),IF(I68&gt;=16,"Critical",IF(I68&gt;=10,"High",IF(I68&gt;=5,"Medium","Low"))),"Not assessed"))</x:f>
      </x:c>
      <x:c r="K68" s="128"/>
      <x:c r="L68" s="128"/>
      <x:c r="M68" s="128"/>
      <x:c r="N68" s="128"/>
      <x:c r="O68" s="138" t="str">
        <x:f>IF(A68="","",IF(COUNT(M68,N68)&lt;&gt;2,"",IF(AND(M68&gt;=1,M68&lt;=5,N68&gt;=1,N68&lt;=5,MOD(M68,1)=0,MOD(N68,1)=0),M68*N68,"")))</x:f>
      </x:c>
      <x:c r="P68" s="138" t="str">
        <x:f>IF(A68="","",IF(ISNUMBER(O68),IF(O68&gt;=16,"Critical",IF(O68&gt;=10,"High",IF(O68&gt;=5,"Medium","Low"))),"Not assessed"))</x:f>
      </x:c>
      <x:c r="Q68" s="128"/>
      <x:c r="R68" s="128"/>
      <x:c r="S68" s="128"/>
      <x:c r="T68" s="128"/>
      <x:c r="U68" s="130"/>
      <x:c r="V68" s="128"/>
      <x:c r="W68" s="128"/>
      <x:c r="X68" s="128"/>
      <x:c r="Y68" s="128"/>
      <x:c r="Z68" s="128"/>
      <x:c r="AA68" s="128"/>
      <x:c r="AB68" s="130"/>
      <x:c r="AC68" s="128"/>
      <x:c r="AD68" s="138" t="str">
        <x:f>IF(COUNTA(A68:H68,K68:N68,Q68:AC68,AF68:AG68)=0,"",IF(A68="","Missing ID",IF(COUNTIF($A$5:$A$104,A68)&gt;1,"Duplicate ID",IF(OR(B68="",C68="",D68="",E68="",F68="",K68="",L68="",R68=""),"Missing assessment context",IF(OR(NOT(ISNUMBER(I68)),NOT(ISNUMBER(O68))),"Incomplete or invalid scores",IF(OR(S68="",NOT(OR(T68="Open",T68="Planned",T68="In Progress",T68="Closed",T68="Accepted"))),"Missing owner or invalid status",IF(NOT(ISNUMBER(U68)),"Missing or invalid target date",IF(U68&lt;=0,"Missing or invalid target date",IF(NOT(OR(Q68="Mitigate",Q68="Accept",Q68="Transfer",Q68="Avoid")),"Invalid treatment",IF(AND(T68="Accepted",Q68&lt;&gt;"Accept"),"Treatment/status conflict",IF(OR(M68&gt;G68,N68&gt;H68),"Review residual increase","OK")))))))))))</x:f>
      </x:c>
      <x:c r="AE68" s="138" t="str">
        <x:f>IF(A68="","",IF(OR(Y68="",NOT(OR(Z68="Scenario only",Z68="Evidence requested",Z68="Evidence reviewed")),AA68="",NOT(ISNUMBER(AB68)),AF68="",AG68=""),"Add assessment support",IF(OR(AB68&lt;=0,AB68&gt;Methodology!$B$25),"Review date outside period",IF(AND(OR(T68="Closed",T68="Accepted"),OR(AC68="",Z68&lt;&gt;"Evidence reviewed")),"Closure review needed",IF(OR(T68="Closed",T68="Accepted"),"Decision recorded",IF(Z68="Evidence reviewed","Evidence recorded","Scenario documented"))))))</x:f>
      </x:c>
      <x:c r="AF68" s="128"/>
      <x:c r="AG68" s="128"/>
    </x:row>
    <x:row r="69" ht="40" customHeight="1">
      <x:c r="A69" s="128"/>
      <x:c r="B69" s="128"/>
      <x:c r="C69" s="128"/>
      <x:c r="D69" s="128"/>
      <x:c r="E69" s="128"/>
      <x:c r="F69" s="128"/>
      <x:c r="G69" s="128"/>
      <x:c r="H69" s="128"/>
      <x:c r="I69" s="138" t="str">
        <x:f>IF(A69="","",IF(COUNT(G69,H69)&lt;&gt;2,"",IF(AND(G69&gt;=1,G69&lt;=5,H69&gt;=1,H69&lt;=5,MOD(G69,1)=0,MOD(H69,1)=0),G69*H69,"")))</x:f>
      </x:c>
      <x:c r="J69" s="138" t="str">
        <x:f>IF(A69="","",IF(ISNUMBER(I69),IF(I69&gt;=16,"Critical",IF(I69&gt;=10,"High",IF(I69&gt;=5,"Medium","Low"))),"Not assessed"))</x:f>
      </x:c>
      <x:c r="K69" s="128"/>
      <x:c r="L69" s="128"/>
      <x:c r="M69" s="128"/>
      <x:c r="N69" s="128"/>
      <x:c r="O69" s="138" t="str">
        <x:f>IF(A69="","",IF(COUNT(M69,N69)&lt;&gt;2,"",IF(AND(M69&gt;=1,M69&lt;=5,N69&gt;=1,N69&lt;=5,MOD(M69,1)=0,MOD(N69,1)=0),M69*N69,"")))</x:f>
      </x:c>
      <x:c r="P69" s="138" t="str">
        <x:f>IF(A69="","",IF(ISNUMBER(O69),IF(O69&gt;=16,"Critical",IF(O69&gt;=10,"High",IF(O69&gt;=5,"Medium","Low"))),"Not assessed"))</x:f>
      </x:c>
      <x:c r="Q69" s="128"/>
      <x:c r="R69" s="128"/>
      <x:c r="S69" s="128"/>
      <x:c r="T69" s="128"/>
      <x:c r="U69" s="130"/>
      <x:c r="V69" s="128"/>
      <x:c r="W69" s="128"/>
      <x:c r="X69" s="128"/>
      <x:c r="Y69" s="128"/>
      <x:c r="Z69" s="128"/>
      <x:c r="AA69" s="128"/>
      <x:c r="AB69" s="130"/>
      <x:c r="AC69" s="128"/>
      <x:c r="AD69" s="138" t="str">
        <x:f>IF(COUNTA(A69:H69,K69:N69,Q69:AC69,AF69:AG69)=0,"",IF(A69="","Missing ID",IF(COUNTIF($A$5:$A$104,A69)&gt;1,"Duplicate ID",IF(OR(B69="",C69="",D69="",E69="",F69="",K69="",L69="",R69=""),"Missing assessment context",IF(OR(NOT(ISNUMBER(I69)),NOT(ISNUMBER(O69))),"Incomplete or invalid scores",IF(OR(S69="",NOT(OR(T69="Open",T69="Planned",T69="In Progress",T69="Closed",T69="Accepted"))),"Missing owner or invalid status",IF(NOT(ISNUMBER(U69)),"Missing or invalid target date",IF(U69&lt;=0,"Missing or invalid target date",IF(NOT(OR(Q69="Mitigate",Q69="Accept",Q69="Transfer",Q69="Avoid")),"Invalid treatment",IF(AND(T69="Accepted",Q69&lt;&gt;"Accept"),"Treatment/status conflict",IF(OR(M69&gt;G69,N69&gt;H69),"Review residual increase","OK")))))))))))</x:f>
      </x:c>
      <x:c r="AE69" s="138" t="str">
        <x:f>IF(A69="","",IF(OR(Y69="",NOT(OR(Z69="Scenario only",Z69="Evidence requested",Z69="Evidence reviewed")),AA69="",NOT(ISNUMBER(AB69)),AF69="",AG69=""),"Add assessment support",IF(OR(AB69&lt;=0,AB69&gt;Methodology!$B$25),"Review date outside period",IF(AND(OR(T69="Closed",T69="Accepted"),OR(AC69="",Z69&lt;&gt;"Evidence reviewed")),"Closure review needed",IF(OR(T69="Closed",T69="Accepted"),"Decision recorded",IF(Z69="Evidence reviewed","Evidence recorded","Scenario documented"))))))</x:f>
      </x:c>
      <x:c r="AF69" s="128"/>
      <x:c r="AG69" s="128"/>
    </x:row>
    <x:row r="70" ht="40" customHeight="1">
      <x:c r="A70" s="128"/>
      <x:c r="B70" s="128"/>
      <x:c r="C70" s="128"/>
      <x:c r="D70" s="128"/>
      <x:c r="E70" s="128"/>
      <x:c r="F70" s="128"/>
      <x:c r="G70" s="128"/>
      <x:c r="H70" s="128"/>
      <x:c r="I70" s="138" t="str">
        <x:f>IF(A70="","",IF(COUNT(G70,H70)&lt;&gt;2,"",IF(AND(G70&gt;=1,G70&lt;=5,H70&gt;=1,H70&lt;=5,MOD(G70,1)=0,MOD(H70,1)=0),G70*H70,"")))</x:f>
      </x:c>
      <x:c r="J70" s="138" t="str">
        <x:f>IF(A70="","",IF(ISNUMBER(I70),IF(I70&gt;=16,"Critical",IF(I70&gt;=10,"High",IF(I70&gt;=5,"Medium","Low"))),"Not assessed"))</x:f>
      </x:c>
      <x:c r="K70" s="128"/>
      <x:c r="L70" s="128"/>
      <x:c r="M70" s="128"/>
      <x:c r="N70" s="128"/>
      <x:c r="O70" s="138" t="str">
        <x:f>IF(A70="","",IF(COUNT(M70,N70)&lt;&gt;2,"",IF(AND(M70&gt;=1,M70&lt;=5,N70&gt;=1,N70&lt;=5,MOD(M70,1)=0,MOD(N70,1)=0),M70*N70,"")))</x:f>
      </x:c>
      <x:c r="P70" s="138" t="str">
        <x:f>IF(A70="","",IF(ISNUMBER(O70),IF(O70&gt;=16,"Critical",IF(O70&gt;=10,"High",IF(O70&gt;=5,"Medium","Low"))),"Not assessed"))</x:f>
      </x:c>
      <x:c r="Q70" s="128"/>
      <x:c r="R70" s="128"/>
      <x:c r="S70" s="128"/>
      <x:c r="T70" s="128"/>
      <x:c r="U70" s="130"/>
      <x:c r="V70" s="128"/>
      <x:c r="W70" s="128"/>
      <x:c r="X70" s="128"/>
      <x:c r="Y70" s="128"/>
      <x:c r="Z70" s="128"/>
      <x:c r="AA70" s="128"/>
      <x:c r="AB70" s="130"/>
      <x:c r="AC70" s="128"/>
      <x:c r="AD70" s="138" t="str">
        <x:f>IF(COUNTA(A70:H70,K70:N70,Q70:AC70,AF70:AG70)=0,"",IF(A70="","Missing ID",IF(COUNTIF($A$5:$A$104,A70)&gt;1,"Duplicate ID",IF(OR(B70="",C70="",D70="",E70="",F70="",K70="",L70="",R70=""),"Missing assessment context",IF(OR(NOT(ISNUMBER(I70)),NOT(ISNUMBER(O70))),"Incomplete or invalid scores",IF(OR(S70="",NOT(OR(T70="Open",T70="Planned",T70="In Progress",T70="Closed",T70="Accepted"))),"Missing owner or invalid status",IF(NOT(ISNUMBER(U70)),"Missing or invalid target date",IF(U70&lt;=0,"Missing or invalid target date",IF(NOT(OR(Q70="Mitigate",Q70="Accept",Q70="Transfer",Q70="Avoid")),"Invalid treatment",IF(AND(T70="Accepted",Q70&lt;&gt;"Accept"),"Treatment/status conflict",IF(OR(M70&gt;G70,N70&gt;H70),"Review residual increase","OK")))))))))))</x:f>
      </x:c>
      <x:c r="AE70" s="138" t="str">
        <x:f>IF(A70="","",IF(OR(Y70="",NOT(OR(Z70="Scenario only",Z70="Evidence requested",Z70="Evidence reviewed")),AA70="",NOT(ISNUMBER(AB70)),AF70="",AG70=""),"Add assessment support",IF(OR(AB70&lt;=0,AB70&gt;Methodology!$B$25),"Review date outside period",IF(AND(OR(T70="Closed",T70="Accepted"),OR(AC70="",Z70&lt;&gt;"Evidence reviewed")),"Closure review needed",IF(OR(T70="Closed",T70="Accepted"),"Decision recorded",IF(Z70="Evidence reviewed","Evidence recorded","Scenario documented"))))))</x:f>
      </x:c>
      <x:c r="AF70" s="128"/>
      <x:c r="AG70" s="128"/>
    </x:row>
    <x:row r="71" ht="40" customHeight="1">
      <x:c r="A71" s="128"/>
      <x:c r="B71" s="128"/>
      <x:c r="C71" s="128"/>
      <x:c r="D71" s="128"/>
      <x:c r="E71" s="128"/>
      <x:c r="F71" s="128"/>
      <x:c r="G71" s="128"/>
      <x:c r="H71" s="128"/>
      <x:c r="I71" s="138" t="str">
        <x:f>IF(A71="","",IF(COUNT(G71,H71)&lt;&gt;2,"",IF(AND(G71&gt;=1,G71&lt;=5,H71&gt;=1,H71&lt;=5,MOD(G71,1)=0,MOD(H71,1)=0),G71*H71,"")))</x:f>
      </x:c>
      <x:c r="J71" s="138" t="str">
        <x:f>IF(A71="","",IF(ISNUMBER(I71),IF(I71&gt;=16,"Critical",IF(I71&gt;=10,"High",IF(I71&gt;=5,"Medium","Low"))),"Not assessed"))</x:f>
      </x:c>
      <x:c r="K71" s="128"/>
      <x:c r="L71" s="128"/>
      <x:c r="M71" s="128"/>
      <x:c r="N71" s="128"/>
      <x:c r="O71" s="138" t="str">
        <x:f>IF(A71="","",IF(COUNT(M71,N71)&lt;&gt;2,"",IF(AND(M71&gt;=1,M71&lt;=5,N71&gt;=1,N71&lt;=5,MOD(M71,1)=0,MOD(N71,1)=0),M71*N71,"")))</x:f>
      </x:c>
      <x:c r="P71" s="138" t="str">
        <x:f>IF(A71="","",IF(ISNUMBER(O71),IF(O71&gt;=16,"Critical",IF(O71&gt;=10,"High",IF(O71&gt;=5,"Medium","Low"))),"Not assessed"))</x:f>
      </x:c>
      <x:c r="Q71" s="128"/>
      <x:c r="R71" s="128"/>
      <x:c r="S71" s="128"/>
      <x:c r="T71" s="128"/>
      <x:c r="U71" s="130"/>
      <x:c r="V71" s="128"/>
      <x:c r="W71" s="128"/>
      <x:c r="X71" s="128"/>
      <x:c r="Y71" s="128"/>
      <x:c r="Z71" s="128"/>
      <x:c r="AA71" s="128"/>
      <x:c r="AB71" s="130"/>
      <x:c r="AC71" s="128"/>
      <x:c r="AD71" s="138" t="str">
        <x:f>IF(COUNTA(A71:H71,K71:N71,Q71:AC71,AF71:AG71)=0,"",IF(A71="","Missing ID",IF(COUNTIF($A$5:$A$104,A71)&gt;1,"Duplicate ID",IF(OR(B71="",C71="",D71="",E71="",F71="",K71="",L71="",R71=""),"Missing assessment context",IF(OR(NOT(ISNUMBER(I71)),NOT(ISNUMBER(O71))),"Incomplete or invalid scores",IF(OR(S71="",NOT(OR(T71="Open",T71="Planned",T71="In Progress",T71="Closed",T71="Accepted"))),"Missing owner or invalid status",IF(NOT(ISNUMBER(U71)),"Missing or invalid target date",IF(U71&lt;=0,"Missing or invalid target date",IF(NOT(OR(Q71="Mitigate",Q71="Accept",Q71="Transfer",Q71="Avoid")),"Invalid treatment",IF(AND(T71="Accepted",Q71&lt;&gt;"Accept"),"Treatment/status conflict",IF(OR(M71&gt;G71,N71&gt;H71),"Review residual increase","OK")))))))))))</x:f>
      </x:c>
      <x:c r="AE71" s="138" t="str">
        <x:f>IF(A71="","",IF(OR(Y71="",NOT(OR(Z71="Scenario only",Z71="Evidence requested",Z71="Evidence reviewed")),AA71="",NOT(ISNUMBER(AB71)),AF71="",AG71=""),"Add assessment support",IF(OR(AB71&lt;=0,AB71&gt;Methodology!$B$25),"Review date outside period",IF(AND(OR(T71="Closed",T71="Accepted"),OR(AC71="",Z71&lt;&gt;"Evidence reviewed")),"Closure review needed",IF(OR(T71="Closed",T71="Accepted"),"Decision recorded",IF(Z71="Evidence reviewed","Evidence recorded","Scenario documented"))))))</x:f>
      </x:c>
      <x:c r="AF71" s="128"/>
      <x:c r="AG71" s="128"/>
    </x:row>
    <x:row r="72" ht="40" customHeight="1">
      <x:c r="A72" s="128"/>
      <x:c r="B72" s="128"/>
      <x:c r="C72" s="128"/>
      <x:c r="D72" s="128"/>
      <x:c r="E72" s="128"/>
      <x:c r="F72" s="128"/>
      <x:c r="G72" s="128"/>
      <x:c r="H72" s="128"/>
      <x:c r="I72" s="138" t="str">
        <x:f>IF(A72="","",IF(COUNT(G72,H72)&lt;&gt;2,"",IF(AND(G72&gt;=1,G72&lt;=5,H72&gt;=1,H72&lt;=5,MOD(G72,1)=0,MOD(H72,1)=0),G72*H72,"")))</x:f>
      </x:c>
      <x:c r="J72" s="138" t="str">
        <x:f>IF(A72="","",IF(ISNUMBER(I72),IF(I72&gt;=16,"Critical",IF(I72&gt;=10,"High",IF(I72&gt;=5,"Medium","Low"))),"Not assessed"))</x:f>
      </x:c>
      <x:c r="K72" s="128"/>
      <x:c r="L72" s="128"/>
      <x:c r="M72" s="128"/>
      <x:c r="N72" s="128"/>
      <x:c r="O72" s="138" t="str">
        <x:f>IF(A72="","",IF(COUNT(M72,N72)&lt;&gt;2,"",IF(AND(M72&gt;=1,M72&lt;=5,N72&gt;=1,N72&lt;=5,MOD(M72,1)=0,MOD(N72,1)=0),M72*N72,"")))</x:f>
      </x:c>
      <x:c r="P72" s="138" t="str">
        <x:f>IF(A72="","",IF(ISNUMBER(O72),IF(O72&gt;=16,"Critical",IF(O72&gt;=10,"High",IF(O72&gt;=5,"Medium","Low"))),"Not assessed"))</x:f>
      </x:c>
      <x:c r="Q72" s="128"/>
      <x:c r="R72" s="128"/>
      <x:c r="S72" s="128"/>
      <x:c r="T72" s="128"/>
      <x:c r="U72" s="130"/>
      <x:c r="V72" s="128"/>
      <x:c r="W72" s="128"/>
      <x:c r="X72" s="128"/>
      <x:c r="Y72" s="128"/>
      <x:c r="Z72" s="128"/>
      <x:c r="AA72" s="128"/>
      <x:c r="AB72" s="130"/>
      <x:c r="AC72" s="128"/>
      <x:c r="AD72" s="138" t="str">
        <x:f>IF(COUNTA(A72:H72,K72:N72,Q72:AC72,AF72:AG72)=0,"",IF(A72="","Missing ID",IF(COUNTIF($A$5:$A$104,A72)&gt;1,"Duplicate ID",IF(OR(B72="",C72="",D72="",E72="",F72="",K72="",L72="",R72=""),"Missing assessment context",IF(OR(NOT(ISNUMBER(I72)),NOT(ISNUMBER(O72))),"Incomplete or invalid scores",IF(OR(S72="",NOT(OR(T72="Open",T72="Planned",T72="In Progress",T72="Closed",T72="Accepted"))),"Missing owner or invalid status",IF(NOT(ISNUMBER(U72)),"Missing or invalid target date",IF(U72&lt;=0,"Missing or invalid target date",IF(NOT(OR(Q72="Mitigate",Q72="Accept",Q72="Transfer",Q72="Avoid")),"Invalid treatment",IF(AND(T72="Accepted",Q72&lt;&gt;"Accept"),"Treatment/status conflict",IF(OR(M72&gt;G72,N72&gt;H72),"Review residual increase","OK")))))))))))</x:f>
      </x:c>
      <x:c r="AE72" s="138" t="str">
        <x:f>IF(A72="","",IF(OR(Y72="",NOT(OR(Z72="Scenario only",Z72="Evidence requested",Z72="Evidence reviewed")),AA72="",NOT(ISNUMBER(AB72)),AF72="",AG72=""),"Add assessment support",IF(OR(AB72&lt;=0,AB72&gt;Methodology!$B$25),"Review date outside period",IF(AND(OR(T72="Closed",T72="Accepted"),OR(AC72="",Z72&lt;&gt;"Evidence reviewed")),"Closure review needed",IF(OR(T72="Closed",T72="Accepted"),"Decision recorded",IF(Z72="Evidence reviewed","Evidence recorded","Scenario documented"))))))</x:f>
      </x:c>
      <x:c r="AF72" s="128"/>
      <x:c r="AG72" s="128"/>
    </x:row>
    <x:row r="73" ht="40" customHeight="1">
      <x:c r="A73" s="128"/>
      <x:c r="B73" s="128"/>
      <x:c r="C73" s="128"/>
      <x:c r="D73" s="128"/>
      <x:c r="E73" s="128"/>
      <x:c r="F73" s="128"/>
      <x:c r="G73" s="128"/>
      <x:c r="H73" s="128"/>
      <x:c r="I73" s="138" t="str">
        <x:f>IF(A73="","",IF(COUNT(G73,H73)&lt;&gt;2,"",IF(AND(G73&gt;=1,G73&lt;=5,H73&gt;=1,H73&lt;=5,MOD(G73,1)=0,MOD(H73,1)=0),G73*H73,"")))</x:f>
      </x:c>
      <x:c r="J73" s="138" t="str">
        <x:f>IF(A73="","",IF(ISNUMBER(I73),IF(I73&gt;=16,"Critical",IF(I73&gt;=10,"High",IF(I73&gt;=5,"Medium","Low"))),"Not assessed"))</x:f>
      </x:c>
      <x:c r="K73" s="128"/>
      <x:c r="L73" s="128"/>
      <x:c r="M73" s="128"/>
      <x:c r="N73" s="128"/>
      <x:c r="O73" s="138" t="str">
        <x:f>IF(A73="","",IF(COUNT(M73,N73)&lt;&gt;2,"",IF(AND(M73&gt;=1,M73&lt;=5,N73&gt;=1,N73&lt;=5,MOD(M73,1)=0,MOD(N73,1)=0),M73*N73,"")))</x:f>
      </x:c>
      <x:c r="P73" s="138" t="str">
        <x:f>IF(A73="","",IF(ISNUMBER(O73),IF(O73&gt;=16,"Critical",IF(O73&gt;=10,"High",IF(O73&gt;=5,"Medium","Low"))),"Not assessed"))</x:f>
      </x:c>
      <x:c r="Q73" s="128"/>
      <x:c r="R73" s="128"/>
      <x:c r="S73" s="128"/>
      <x:c r="T73" s="128"/>
      <x:c r="U73" s="130"/>
      <x:c r="V73" s="128"/>
      <x:c r="W73" s="128"/>
      <x:c r="X73" s="128"/>
      <x:c r="Y73" s="128"/>
      <x:c r="Z73" s="128"/>
      <x:c r="AA73" s="128"/>
      <x:c r="AB73" s="130"/>
      <x:c r="AC73" s="128"/>
      <x:c r="AD73" s="138" t="str">
        <x:f>IF(COUNTA(A73:H73,K73:N73,Q73:AC73,AF73:AG73)=0,"",IF(A73="","Missing ID",IF(COUNTIF($A$5:$A$104,A73)&gt;1,"Duplicate ID",IF(OR(B73="",C73="",D73="",E73="",F73="",K73="",L73="",R73=""),"Missing assessment context",IF(OR(NOT(ISNUMBER(I73)),NOT(ISNUMBER(O73))),"Incomplete or invalid scores",IF(OR(S73="",NOT(OR(T73="Open",T73="Planned",T73="In Progress",T73="Closed",T73="Accepted"))),"Missing owner or invalid status",IF(NOT(ISNUMBER(U73)),"Missing or invalid target date",IF(U73&lt;=0,"Missing or invalid target date",IF(NOT(OR(Q73="Mitigate",Q73="Accept",Q73="Transfer",Q73="Avoid")),"Invalid treatment",IF(AND(T73="Accepted",Q73&lt;&gt;"Accept"),"Treatment/status conflict",IF(OR(M73&gt;G73,N73&gt;H73),"Review residual increase","OK")))))))))))</x:f>
      </x:c>
      <x:c r="AE73" s="138" t="str">
        <x:f>IF(A73="","",IF(OR(Y73="",NOT(OR(Z73="Scenario only",Z73="Evidence requested",Z73="Evidence reviewed")),AA73="",NOT(ISNUMBER(AB73)),AF73="",AG73=""),"Add assessment support",IF(OR(AB73&lt;=0,AB73&gt;Methodology!$B$25),"Review date outside period",IF(AND(OR(T73="Closed",T73="Accepted"),OR(AC73="",Z73&lt;&gt;"Evidence reviewed")),"Closure review needed",IF(OR(T73="Closed",T73="Accepted"),"Decision recorded",IF(Z73="Evidence reviewed","Evidence recorded","Scenario documented"))))))</x:f>
      </x:c>
      <x:c r="AF73" s="128"/>
      <x:c r="AG73" s="128"/>
    </x:row>
    <x:row r="74" ht="40" customHeight="1">
      <x:c r="A74" s="128"/>
      <x:c r="B74" s="128"/>
      <x:c r="C74" s="128"/>
      <x:c r="D74" s="128"/>
      <x:c r="E74" s="128"/>
      <x:c r="F74" s="128"/>
      <x:c r="G74" s="128"/>
      <x:c r="H74" s="128"/>
      <x:c r="I74" s="138" t="str">
        <x:f>IF(A74="","",IF(COUNT(G74,H74)&lt;&gt;2,"",IF(AND(G74&gt;=1,G74&lt;=5,H74&gt;=1,H74&lt;=5,MOD(G74,1)=0,MOD(H74,1)=0),G74*H74,"")))</x:f>
      </x:c>
      <x:c r="J74" s="138" t="str">
        <x:f>IF(A74="","",IF(ISNUMBER(I74),IF(I74&gt;=16,"Critical",IF(I74&gt;=10,"High",IF(I74&gt;=5,"Medium","Low"))),"Not assessed"))</x:f>
      </x:c>
      <x:c r="K74" s="128"/>
      <x:c r="L74" s="128"/>
      <x:c r="M74" s="128"/>
      <x:c r="N74" s="128"/>
      <x:c r="O74" s="138" t="str">
        <x:f>IF(A74="","",IF(COUNT(M74,N74)&lt;&gt;2,"",IF(AND(M74&gt;=1,M74&lt;=5,N74&gt;=1,N74&lt;=5,MOD(M74,1)=0,MOD(N74,1)=0),M74*N74,"")))</x:f>
      </x:c>
      <x:c r="P74" s="138" t="str">
        <x:f>IF(A74="","",IF(ISNUMBER(O74),IF(O74&gt;=16,"Critical",IF(O74&gt;=10,"High",IF(O74&gt;=5,"Medium","Low"))),"Not assessed"))</x:f>
      </x:c>
      <x:c r="Q74" s="128"/>
      <x:c r="R74" s="128"/>
      <x:c r="S74" s="128"/>
      <x:c r="T74" s="128"/>
      <x:c r="U74" s="130"/>
      <x:c r="V74" s="128"/>
      <x:c r="W74" s="128"/>
      <x:c r="X74" s="128"/>
      <x:c r="Y74" s="128"/>
      <x:c r="Z74" s="128"/>
      <x:c r="AA74" s="128"/>
      <x:c r="AB74" s="130"/>
      <x:c r="AC74" s="128"/>
      <x:c r="AD74" s="138" t="str">
        <x:f>IF(COUNTA(A74:H74,K74:N74,Q74:AC74,AF74:AG74)=0,"",IF(A74="","Missing ID",IF(COUNTIF($A$5:$A$104,A74)&gt;1,"Duplicate ID",IF(OR(B74="",C74="",D74="",E74="",F74="",K74="",L74="",R74=""),"Missing assessment context",IF(OR(NOT(ISNUMBER(I74)),NOT(ISNUMBER(O74))),"Incomplete or invalid scores",IF(OR(S74="",NOT(OR(T74="Open",T74="Planned",T74="In Progress",T74="Closed",T74="Accepted"))),"Missing owner or invalid status",IF(NOT(ISNUMBER(U74)),"Missing or invalid target date",IF(U74&lt;=0,"Missing or invalid target date",IF(NOT(OR(Q74="Mitigate",Q74="Accept",Q74="Transfer",Q74="Avoid")),"Invalid treatment",IF(AND(T74="Accepted",Q74&lt;&gt;"Accept"),"Treatment/status conflict",IF(OR(M74&gt;G74,N74&gt;H74),"Review residual increase","OK")))))))))))</x:f>
      </x:c>
      <x:c r="AE74" s="138" t="str">
        <x:f>IF(A74="","",IF(OR(Y74="",NOT(OR(Z74="Scenario only",Z74="Evidence requested",Z74="Evidence reviewed")),AA74="",NOT(ISNUMBER(AB74)),AF74="",AG74=""),"Add assessment support",IF(OR(AB74&lt;=0,AB74&gt;Methodology!$B$25),"Review date outside period",IF(AND(OR(T74="Closed",T74="Accepted"),OR(AC74="",Z74&lt;&gt;"Evidence reviewed")),"Closure review needed",IF(OR(T74="Closed",T74="Accepted"),"Decision recorded",IF(Z74="Evidence reviewed","Evidence recorded","Scenario documented"))))))</x:f>
      </x:c>
      <x:c r="AF74" s="128"/>
      <x:c r="AG74" s="128"/>
    </x:row>
    <x:row r="75" ht="40" customHeight="1">
      <x:c r="A75" s="128"/>
      <x:c r="B75" s="128"/>
      <x:c r="C75" s="128"/>
      <x:c r="D75" s="128"/>
      <x:c r="E75" s="128"/>
      <x:c r="F75" s="128"/>
      <x:c r="G75" s="128"/>
      <x:c r="H75" s="128"/>
      <x:c r="I75" s="138" t="str">
        <x:f>IF(A75="","",IF(COUNT(G75,H75)&lt;&gt;2,"",IF(AND(G75&gt;=1,G75&lt;=5,H75&gt;=1,H75&lt;=5,MOD(G75,1)=0,MOD(H75,1)=0),G75*H75,"")))</x:f>
      </x:c>
      <x:c r="J75" s="138" t="str">
        <x:f>IF(A75="","",IF(ISNUMBER(I75),IF(I75&gt;=16,"Critical",IF(I75&gt;=10,"High",IF(I75&gt;=5,"Medium","Low"))),"Not assessed"))</x:f>
      </x:c>
      <x:c r="K75" s="128"/>
      <x:c r="L75" s="128"/>
      <x:c r="M75" s="128"/>
      <x:c r="N75" s="128"/>
      <x:c r="O75" s="138" t="str">
        <x:f>IF(A75="","",IF(COUNT(M75,N75)&lt;&gt;2,"",IF(AND(M75&gt;=1,M75&lt;=5,N75&gt;=1,N75&lt;=5,MOD(M75,1)=0,MOD(N75,1)=0),M75*N75,"")))</x:f>
      </x:c>
      <x:c r="P75" s="138" t="str">
        <x:f>IF(A75="","",IF(ISNUMBER(O75),IF(O75&gt;=16,"Critical",IF(O75&gt;=10,"High",IF(O75&gt;=5,"Medium","Low"))),"Not assessed"))</x:f>
      </x:c>
      <x:c r="Q75" s="128"/>
      <x:c r="R75" s="128"/>
      <x:c r="S75" s="128"/>
      <x:c r="T75" s="128"/>
      <x:c r="U75" s="130"/>
      <x:c r="V75" s="128"/>
      <x:c r="W75" s="128"/>
      <x:c r="X75" s="128"/>
      <x:c r="Y75" s="128"/>
      <x:c r="Z75" s="128"/>
      <x:c r="AA75" s="128"/>
      <x:c r="AB75" s="130"/>
      <x:c r="AC75" s="128"/>
      <x:c r="AD75" s="138" t="str">
        <x:f>IF(COUNTA(A75:H75,K75:N75,Q75:AC75,AF75:AG75)=0,"",IF(A75="","Missing ID",IF(COUNTIF($A$5:$A$104,A75)&gt;1,"Duplicate ID",IF(OR(B75="",C75="",D75="",E75="",F75="",K75="",L75="",R75=""),"Missing assessment context",IF(OR(NOT(ISNUMBER(I75)),NOT(ISNUMBER(O75))),"Incomplete or invalid scores",IF(OR(S75="",NOT(OR(T75="Open",T75="Planned",T75="In Progress",T75="Closed",T75="Accepted"))),"Missing owner or invalid status",IF(NOT(ISNUMBER(U75)),"Missing or invalid target date",IF(U75&lt;=0,"Missing or invalid target date",IF(NOT(OR(Q75="Mitigate",Q75="Accept",Q75="Transfer",Q75="Avoid")),"Invalid treatment",IF(AND(T75="Accepted",Q75&lt;&gt;"Accept"),"Treatment/status conflict",IF(OR(M75&gt;G75,N75&gt;H75),"Review residual increase","OK")))))))))))</x:f>
      </x:c>
      <x:c r="AE75" s="138" t="str">
        <x:f>IF(A75="","",IF(OR(Y75="",NOT(OR(Z75="Scenario only",Z75="Evidence requested",Z75="Evidence reviewed")),AA75="",NOT(ISNUMBER(AB75)),AF75="",AG75=""),"Add assessment support",IF(OR(AB75&lt;=0,AB75&gt;Methodology!$B$25),"Review date outside period",IF(AND(OR(T75="Closed",T75="Accepted"),OR(AC75="",Z75&lt;&gt;"Evidence reviewed")),"Closure review needed",IF(OR(T75="Closed",T75="Accepted"),"Decision recorded",IF(Z75="Evidence reviewed","Evidence recorded","Scenario documented"))))))</x:f>
      </x:c>
      <x:c r="AF75" s="128"/>
      <x:c r="AG75" s="128"/>
    </x:row>
    <x:row r="76" ht="40" customHeight="1">
      <x:c r="A76" s="128"/>
      <x:c r="B76" s="128"/>
      <x:c r="C76" s="128"/>
      <x:c r="D76" s="128"/>
      <x:c r="E76" s="128"/>
      <x:c r="F76" s="128"/>
      <x:c r="G76" s="128"/>
      <x:c r="H76" s="128"/>
      <x:c r="I76" s="138" t="str">
        <x:f>IF(A76="","",IF(COUNT(G76,H76)&lt;&gt;2,"",IF(AND(G76&gt;=1,G76&lt;=5,H76&gt;=1,H76&lt;=5,MOD(G76,1)=0,MOD(H76,1)=0),G76*H76,"")))</x:f>
      </x:c>
      <x:c r="J76" s="138" t="str">
        <x:f>IF(A76="","",IF(ISNUMBER(I76),IF(I76&gt;=16,"Critical",IF(I76&gt;=10,"High",IF(I76&gt;=5,"Medium","Low"))),"Not assessed"))</x:f>
      </x:c>
      <x:c r="K76" s="128"/>
      <x:c r="L76" s="128"/>
      <x:c r="M76" s="128"/>
      <x:c r="N76" s="128"/>
      <x:c r="O76" s="138" t="str">
        <x:f>IF(A76="","",IF(COUNT(M76,N76)&lt;&gt;2,"",IF(AND(M76&gt;=1,M76&lt;=5,N76&gt;=1,N76&lt;=5,MOD(M76,1)=0,MOD(N76,1)=0),M76*N76,"")))</x:f>
      </x:c>
      <x:c r="P76" s="138" t="str">
        <x:f>IF(A76="","",IF(ISNUMBER(O76),IF(O76&gt;=16,"Critical",IF(O76&gt;=10,"High",IF(O76&gt;=5,"Medium","Low"))),"Not assessed"))</x:f>
      </x:c>
      <x:c r="Q76" s="128"/>
      <x:c r="R76" s="128"/>
      <x:c r="S76" s="128"/>
      <x:c r="T76" s="128"/>
      <x:c r="U76" s="130"/>
      <x:c r="V76" s="128"/>
      <x:c r="W76" s="128"/>
      <x:c r="X76" s="128"/>
      <x:c r="Y76" s="128"/>
      <x:c r="Z76" s="128"/>
      <x:c r="AA76" s="128"/>
      <x:c r="AB76" s="130"/>
      <x:c r="AC76" s="128"/>
      <x:c r="AD76" s="138" t="str">
        <x:f>IF(COUNTA(A76:H76,K76:N76,Q76:AC76,AF76:AG76)=0,"",IF(A76="","Missing ID",IF(COUNTIF($A$5:$A$104,A76)&gt;1,"Duplicate ID",IF(OR(B76="",C76="",D76="",E76="",F76="",K76="",L76="",R76=""),"Missing assessment context",IF(OR(NOT(ISNUMBER(I76)),NOT(ISNUMBER(O76))),"Incomplete or invalid scores",IF(OR(S76="",NOT(OR(T76="Open",T76="Planned",T76="In Progress",T76="Closed",T76="Accepted"))),"Missing owner or invalid status",IF(NOT(ISNUMBER(U76)),"Missing or invalid target date",IF(U76&lt;=0,"Missing or invalid target date",IF(NOT(OR(Q76="Mitigate",Q76="Accept",Q76="Transfer",Q76="Avoid")),"Invalid treatment",IF(AND(T76="Accepted",Q76&lt;&gt;"Accept"),"Treatment/status conflict",IF(OR(M76&gt;G76,N76&gt;H76),"Review residual increase","OK")))))))))))</x:f>
      </x:c>
      <x:c r="AE76" s="138" t="str">
        <x:f>IF(A76="","",IF(OR(Y76="",NOT(OR(Z76="Scenario only",Z76="Evidence requested",Z76="Evidence reviewed")),AA76="",NOT(ISNUMBER(AB76)),AF76="",AG76=""),"Add assessment support",IF(OR(AB76&lt;=0,AB76&gt;Methodology!$B$25),"Review date outside period",IF(AND(OR(T76="Closed",T76="Accepted"),OR(AC76="",Z76&lt;&gt;"Evidence reviewed")),"Closure review needed",IF(OR(T76="Closed",T76="Accepted"),"Decision recorded",IF(Z76="Evidence reviewed","Evidence recorded","Scenario documented"))))))</x:f>
      </x:c>
      <x:c r="AF76" s="128"/>
      <x:c r="AG76" s="128"/>
    </x:row>
    <x:row r="77" ht="40" customHeight="1">
      <x:c r="A77" s="128"/>
      <x:c r="B77" s="128"/>
      <x:c r="C77" s="128"/>
      <x:c r="D77" s="128"/>
      <x:c r="E77" s="128"/>
      <x:c r="F77" s="128"/>
      <x:c r="G77" s="128"/>
      <x:c r="H77" s="128"/>
      <x:c r="I77" s="138" t="str">
        <x:f>IF(A77="","",IF(COUNT(G77,H77)&lt;&gt;2,"",IF(AND(G77&gt;=1,G77&lt;=5,H77&gt;=1,H77&lt;=5,MOD(G77,1)=0,MOD(H77,1)=0),G77*H77,"")))</x:f>
      </x:c>
      <x:c r="J77" s="138" t="str">
        <x:f>IF(A77="","",IF(ISNUMBER(I77),IF(I77&gt;=16,"Critical",IF(I77&gt;=10,"High",IF(I77&gt;=5,"Medium","Low"))),"Not assessed"))</x:f>
      </x:c>
      <x:c r="K77" s="128"/>
      <x:c r="L77" s="128"/>
      <x:c r="M77" s="128"/>
      <x:c r="N77" s="128"/>
      <x:c r="O77" s="138" t="str">
        <x:f>IF(A77="","",IF(COUNT(M77,N77)&lt;&gt;2,"",IF(AND(M77&gt;=1,M77&lt;=5,N77&gt;=1,N77&lt;=5,MOD(M77,1)=0,MOD(N77,1)=0),M77*N77,"")))</x:f>
      </x:c>
      <x:c r="P77" s="138" t="str">
        <x:f>IF(A77="","",IF(ISNUMBER(O77),IF(O77&gt;=16,"Critical",IF(O77&gt;=10,"High",IF(O77&gt;=5,"Medium","Low"))),"Not assessed"))</x:f>
      </x:c>
      <x:c r="Q77" s="128"/>
      <x:c r="R77" s="128"/>
      <x:c r="S77" s="128"/>
      <x:c r="T77" s="128"/>
      <x:c r="U77" s="130"/>
      <x:c r="V77" s="128"/>
      <x:c r="W77" s="128"/>
      <x:c r="X77" s="128"/>
      <x:c r="Y77" s="128"/>
      <x:c r="Z77" s="128"/>
      <x:c r="AA77" s="128"/>
      <x:c r="AB77" s="130"/>
      <x:c r="AC77" s="128"/>
      <x:c r="AD77" s="138" t="str">
        <x:f>IF(COUNTA(A77:H77,K77:N77,Q77:AC77,AF77:AG77)=0,"",IF(A77="","Missing ID",IF(COUNTIF($A$5:$A$104,A77)&gt;1,"Duplicate ID",IF(OR(B77="",C77="",D77="",E77="",F77="",K77="",L77="",R77=""),"Missing assessment context",IF(OR(NOT(ISNUMBER(I77)),NOT(ISNUMBER(O77))),"Incomplete or invalid scores",IF(OR(S77="",NOT(OR(T77="Open",T77="Planned",T77="In Progress",T77="Closed",T77="Accepted"))),"Missing owner or invalid status",IF(NOT(ISNUMBER(U77)),"Missing or invalid target date",IF(U77&lt;=0,"Missing or invalid target date",IF(NOT(OR(Q77="Mitigate",Q77="Accept",Q77="Transfer",Q77="Avoid")),"Invalid treatment",IF(AND(T77="Accepted",Q77&lt;&gt;"Accept"),"Treatment/status conflict",IF(OR(M77&gt;G77,N77&gt;H77),"Review residual increase","OK")))))))))))</x:f>
      </x:c>
      <x:c r="AE77" s="138" t="str">
        <x:f>IF(A77="","",IF(OR(Y77="",NOT(OR(Z77="Scenario only",Z77="Evidence requested",Z77="Evidence reviewed")),AA77="",NOT(ISNUMBER(AB77)),AF77="",AG77=""),"Add assessment support",IF(OR(AB77&lt;=0,AB77&gt;Methodology!$B$25),"Review date outside period",IF(AND(OR(T77="Closed",T77="Accepted"),OR(AC77="",Z77&lt;&gt;"Evidence reviewed")),"Closure review needed",IF(OR(T77="Closed",T77="Accepted"),"Decision recorded",IF(Z77="Evidence reviewed","Evidence recorded","Scenario documented"))))))</x:f>
      </x:c>
      <x:c r="AF77" s="128"/>
      <x:c r="AG77" s="128"/>
    </x:row>
    <x:row r="78" ht="40" customHeight="1">
      <x:c r="A78" s="128"/>
      <x:c r="B78" s="128"/>
      <x:c r="C78" s="128"/>
      <x:c r="D78" s="128"/>
      <x:c r="E78" s="128"/>
      <x:c r="F78" s="128"/>
      <x:c r="G78" s="128"/>
      <x:c r="H78" s="128"/>
      <x:c r="I78" s="138" t="str">
        <x:f>IF(A78="","",IF(COUNT(G78,H78)&lt;&gt;2,"",IF(AND(G78&gt;=1,G78&lt;=5,H78&gt;=1,H78&lt;=5,MOD(G78,1)=0,MOD(H78,1)=0),G78*H78,"")))</x:f>
      </x:c>
      <x:c r="J78" s="138" t="str">
        <x:f>IF(A78="","",IF(ISNUMBER(I78),IF(I78&gt;=16,"Critical",IF(I78&gt;=10,"High",IF(I78&gt;=5,"Medium","Low"))),"Not assessed"))</x:f>
      </x:c>
      <x:c r="K78" s="128"/>
      <x:c r="L78" s="128"/>
      <x:c r="M78" s="128"/>
      <x:c r="N78" s="128"/>
      <x:c r="O78" s="138" t="str">
        <x:f>IF(A78="","",IF(COUNT(M78,N78)&lt;&gt;2,"",IF(AND(M78&gt;=1,M78&lt;=5,N78&gt;=1,N78&lt;=5,MOD(M78,1)=0,MOD(N78,1)=0),M78*N78,"")))</x:f>
      </x:c>
      <x:c r="P78" s="138" t="str">
        <x:f>IF(A78="","",IF(ISNUMBER(O78),IF(O78&gt;=16,"Critical",IF(O78&gt;=10,"High",IF(O78&gt;=5,"Medium","Low"))),"Not assessed"))</x:f>
      </x:c>
      <x:c r="Q78" s="128"/>
      <x:c r="R78" s="128"/>
      <x:c r="S78" s="128"/>
      <x:c r="T78" s="128"/>
      <x:c r="U78" s="130"/>
      <x:c r="V78" s="128"/>
      <x:c r="W78" s="128"/>
      <x:c r="X78" s="128"/>
      <x:c r="Y78" s="128"/>
      <x:c r="Z78" s="128"/>
      <x:c r="AA78" s="128"/>
      <x:c r="AB78" s="130"/>
      <x:c r="AC78" s="128"/>
      <x:c r="AD78" s="138" t="str">
        <x:f>IF(COUNTA(A78:H78,K78:N78,Q78:AC78,AF78:AG78)=0,"",IF(A78="","Missing ID",IF(COUNTIF($A$5:$A$104,A78)&gt;1,"Duplicate ID",IF(OR(B78="",C78="",D78="",E78="",F78="",K78="",L78="",R78=""),"Missing assessment context",IF(OR(NOT(ISNUMBER(I78)),NOT(ISNUMBER(O78))),"Incomplete or invalid scores",IF(OR(S78="",NOT(OR(T78="Open",T78="Planned",T78="In Progress",T78="Closed",T78="Accepted"))),"Missing owner or invalid status",IF(NOT(ISNUMBER(U78)),"Missing or invalid target date",IF(U78&lt;=0,"Missing or invalid target date",IF(NOT(OR(Q78="Mitigate",Q78="Accept",Q78="Transfer",Q78="Avoid")),"Invalid treatment",IF(AND(T78="Accepted",Q78&lt;&gt;"Accept"),"Treatment/status conflict",IF(OR(M78&gt;G78,N78&gt;H78),"Review residual increase","OK")))))))))))</x:f>
      </x:c>
      <x:c r="AE78" s="138" t="str">
        <x:f>IF(A78="","",IF(OR(Y78="",NOT(OR(Z78="Scenario only",Z78="Evidence requested",Z78="Evidence reviewed")),AA78="",NOT(ISNUMBER(AB78)),AF78="",AG78=""),"Add assessment support",IF(OR(AB78&lt;=0,AB78&gt;Methodology!$B$25),"Review date outside period",IF(AND(OR(T78="Closed",T78="Accepted"),OR(AC78="",Z78&lt;&gt;"Evidence reviewed")),"Closure review needed",IF(OR(T78="Closed",T78="Accepted"),"Decision recorded",IF(Z78="Evidence reviewed","Evidence recorded","Scenario documented"))))))</x:f>
      </x:c>
      <x:c r="AF78" s="128"/>
      <x:c r="AG78" s="128"/>
    </x:row>
    <x:row r="79" ht="40" customHeight="1">
      <x:c r="A79" s="128"/>
      <x:c r="B79" s="128"/>
      <x:c r="C79" s="128"/>
      <x:c r="D79" s="128"/>
      <x:c r="E79" s="128"/>
      <x:c r="F79" s="128"/>
      <x:c r="G79" s="128"/>
      <x:c r="H79" s="128"/>
      <x:c r="I79" s="138" t="str">
        <x:f>IF(A79="","",IF(COUNT(G79,H79)&lt;&gt;2,"",IF(AND(G79&gt;=1,G79&lt;=5,H79&gt;=1,H79&lt;=5,MOD(G79,1)=0,MOD(H79,1)=0),G79*H79,"")))</x:f>
      </x:c>
      <x:c r="J79" s="138" t="str">
        <x:f>IF(A79="","",IF(ISNUMBER(I79),IF(I79&gt;=16,"Critical",IF(I79&gt;=10,"High",IF(I79&gt;=5,"Medium","Low"))),"Not assessed"))</x:f>
      </x:c>
      <x:c r="K79" s="128"/>
      <x:c r="L79" s="128"/>
      <x:c r="M79" s="128"/>
      <x:c r="N79" s="128"/>
      <x:c r="O79" s="138" t="str">
        <x:f>IF(A79="","",IF(COUNT(M79,N79)&lt;&gt;2,"",IF(AND(M79&gt;=1,M79&lt;=5,N79&gt;=1,N79&lt;=5,MOD(M79,1)=0,MOD(N79,1)=0),M79*N79,"")))</x:f>
      </x:c>
      <x:c r="P79" s="138" t="str">
        <x:f>IF(A79="","",IF(ISNUMBER(O79),IF(O79&gt;=16,"Critical",IF(O79&gt;=10,"High",IF(O79&gt;=5,"Medium","Low"))),"Not assessed"))</x:f>
      </x:c>
      <x:c r="Q79" s="128"/>
      <x:c r="R79" s="128"/>
      <x:c r="S79" s="128"/>
      <x:c r="T79" s="128"/>
      <x:c r="U79" s="130"/>
      <x:c r="V79" s="128"/>
      <x:c r="W79" s="128"/>
      <x:c r="X79" s="128"/>
      <x:c r="Y79" s="128"/>
      <x:c r="Z79" s="128"/>
      <x:c r="AA79" s="128"/>
      <x:c r="AB79" s="130"/>
      <x:c r="AC79" s="128"/>
      <x:c r="AD79" s="138" t="str">
        <x:f>IF(COUNTA(A79:H79,K79:N79,Q79:AC79,AF79:AG79)=0,"",IF(A79="","Missing ID",IF(COUNTIF($A$5:$A$104,A79)&gt;1,"Duplicate ID",IF(OR(B79="",C79="",D79="",E79="",F79="",K79="",L79="",R79=""),"Missing assessment context",IF(OR(NOT(ISNUMBER(I79)),NOT(ISNUMBER(O79))),"Incomplete or invalid scores",IF(OR(S79="",NOT(OR(T79="Open",T79="Planned",T79="In Progress",T79="Closed",T79="Accepted"))),"Missing owner or invalid status",IF(NOT(ISNUMBER(U79)),"Missing or invalid target date",IF(U79&lt;=0,"Missing or invalid target date",IF(NOT(OR(Q79="Mitigate",Q79="Accept",Q79="Transfer",Q79="Avoid")),"Invalid treatment",IF(AND(T79="Accepted",Q79&lt;&gt;"Accept"),"Treatment/status conflict",IF(OR(M79&gt;G79,N79&gt;H79),"Review residual increase","OK")))))))))))</x:f>
      </x:c>
      <x:c r="AE79" s="138" t="str">
        <x:f>IF(A79="","",IF(OR(Y79="",NOT(OR(Z79="Scenario only",Z79="Evidence requested",Z79="Evidence reviewed")),AA79="",NOT(ISNUMBER(AB79)),AF79="",AG79=""),"Add assessment support",IF(OR(AB79&lt;=0,AB79&gt;Methodology!$B$25),"Review date outside period",IF(AND(OR(T79="Closed",T79="Accepted"),OR(AC79="",Z79&lt;&gt;"Evidence reviewed")),"Closure review needed",IF(OR(T79="Closed",T79="Accepted"),"Decision recorded",IF(Z79="Evidence reviewed","Evidence recorded","Scenario documented"))))))</x:f>
      </x:c>
      <x:c r="AF79" s="128"/>
      <x:c r="AG79" s="128"/>
    </x:row>
    <x:row r="80" ht="40" customHeight="1">
      <x:c r="A80" s="128"/>
      <x:c r="B80" s="128"/>
      <x:c r="C80" s="128"/>
      <x:c r="D80" s="128"/>
      <x:c r="E80" s="128"/>
      <x:c r="F80" s="128"/>
      <x:c r="G80" s="128"/>
      <x:c r="H80" s="128"/>
      <x:c r="I80" s="138" t="str">
        <x:f>IF(A80="","",IF(COUNT(G80,H80)&lt;&gt;2,"",IF(AND(G80&gt;=1,G80&lt;=5,H80&gt;=1,H80&lt;=5,MOD(G80,1)=0,MOD(H80,1)=0),G80*H80,"")))</x:f>
      </x:c>
      <x:c r="J80" s="138" t="str">
        <x:f>IF(A80="","",IF(ISNUMBER(I80),IF(I80&gt;=16,"Critical",IF(I80&gt;=10,"High",IF(I80&gt;=5,"Medium","Low"))),"Not assessed"))</x:f>
      </x:c>
      <x:c r="K80" s="128"/>
      <x:c r="L80" s="128"/>
      <x:c r="M80" s="128"/>
      <x:c r="N80" s="128"/>
      <x:c r="O80" s="138" t="str">
        <x:f>IF(A80="","",IF(COUNT(M80,N80)&lt;&gt;2,"",IF(AND(M80&gt;=1,M80&lt;=5,N80&gt;=1,N80&lt;=5,MOD(M80,1)=0,MOD(N80,1)=0),M80*N80,"")))</x:f>
      </x:c>
      <x:c r="P80" s="138" t="str">
        <x:f>IF(A80="","",IF(ISNUMBER(O80),IF(O80&gt;=16,"Critical",IF(O80&gt;=10,"High",IF(O80&gt;=5,"Medium","Low"))),"Not assessed"))</x:f>
      </x:c>
      <x:c r="Q80" s="128"/>
      <x:c r="R80" s="128"/>
      <x:c r="S80" s="128"/>
      <x:c r="T80" s="128"/>
      <x:c r="U80" s="130"/>
      <x:c r="V80" s="128"/>
      <x:c r="W80" s="128"/>
      <x:c r="X80" s="128"/>
      <x:c r="Y80" s="128"/>
      <x:c r="Z80" s="128"/>
      <x:c r="AA80" s="128"/>
      <x:c r="AB80" s="130"/>
      <x:c r="AC80" s="128"/>
      <x:c r="AD80" s="138" t="str">
        <x:f>IF(COUNTA(A80:H80,K80:N80,Q80:AC80,AF80:AG80)=0,"",IF(A80="","Missing ID",IF(COUNTIF($A$5:$A$104,A80)&gt;1,"Duplicate ID",IF(OR(B80="",C80="",D80="",E80="",F80="",K80="",L80="",R80=""),"Missing assessment context",IF(OR(NOT(ISNUMBER(I80)),NOT(ISNUMBER(O80))),"Incomplete or invalid scores",IF(OR(S80="",NOT(OR(T80="Open",T80="Planned",T80="In Progress",T80="Closed",T80="Accepted"))),"Missing owner or invalid status",IF(NOT(ISNUMBER(U80)),"Missing or invalid target date",IF(U80&lt;=0,"Missing or invalid target date",IF(NOT(OR(Q80="Mitigate",Q80="Accept",Q80="Transfer",Q80="Avoid")),"Invalid treatment",IF(AND(T80="Accepted",Q80&lt;&gt;"Accept"),"Treatment/status conflict",IF(OR(M80&gt;G80,N80&gt;H80),"Review residual increase","OK")))))))))))</x:f>
      </x:c>
      <x:c r="AE80" s="138" t="str">
        <x:f>IF(A80="","",IF(OR(Y80="",NOT(OR(Z80="Scenario only",Z80="Evidence requested",Z80="Evidence reviewed")),AA80="",NOT(ISNUMBER(AB80)),AF80="",AG80=""),"Add assessment support",IF(OR(AB80&lt;=0,AB80&gt;Methodology!$B$25),"Review date outside period",IF(AND(OR(T80="Closed",T80="Accepted"),OR(AC80="",Z80&lt;&gt;"Evidence reviewed")),"Closure review needed",IF(OR(T80="Closed",T80="Accepted"),"Decision recorded",IF(Z80="Evidence reviewed","Evidence recorded","Scenario documented"))))))</x:f>
      </x:c>
      <x:c r="AF80" s="128"/>
      <x:c r="AG80" s="128"/>
    </x:row>
    <x:row r="81" ht="40" customHeight="1">
      <x:c r="A81" s="128"/>
      <x:c r="B81" s="128"/>
      <x:c r="C81" s="128"/>
      <x:c r="D81" s="128"/>
      <x:c r="E81" s="128"/>
      <x:c r="F81" s="128"/>
      <x:c r="G81" s="128"/>
      <x:c r="H81" s="128"/>
      <x:c r="I81" s="138" t="str">
        <x:f>IF(A81="","",IF(COUNT(G81,H81)&lt;&gt;2,"",IF(AND(G81&gt;=1,G81&lt;=5,H81&gt;=1,H81&lt;=5,MOD(G81,1)=0,MOD(H81,1)=0),G81*H81,"")))</x:f>
      </x:c>
      <x:c r="J81" s="138" t="str">
        <x:f>IF(A81="","",IF(ISNUMBER(I81),IF(I81&gt;=16,"Critical",IF(I81&gt;=10,"High",IF(I81&gt;=5,"Medium","Low"))),"Not assessed"))</x:f>
      </x:c>
      <x:c r="K81" s="128"/>
      <x:c r="L81" s="128"/>
      <x:c r="M81" s="128"/>
      <x:c r="N81" s="128"/>
      <x:c r="O81" s="138" t="str">
        <x:f>IF(A81="","",IF(COUNT(M81,N81)&lt;&gt;2,"",IF(AND(M81&gt;=1,M81&lt;=5,N81&gt;=1,N81&lt;=5,MOD(M81,1)=0,MOD(N81,1)=0),M81*N81,"")))</x:f>
      </x:c>
      <x:c r="P81" s="138" t="str">
        <x:f>IF(A81="","",IF(ISNUMBER(O81),IF(O81&gt;=16,"Critical",IF(O81&gt;=10,"High",IF(O81&gt;=5,"Medium","Low"))),"Not assessed"))</x:f>
      </x:c>
      <x:c r="Q81" s="128"/>
      <x:c r="R81" s="128"/>
      <x:c r="S81" s="128"/>
      <x:c r="T81" s="128"/>
      <x:c r="U81" s="130"/>
      <x:c r="V81" s="128"/>
      <x:c r="W81" s="128"/>
      <x:c r="X81" s="128"/>
      <x:c r="Y81" s="128"/>
      <x:c r="Z81" s="128"/>
      <x:c r="AA81" s="128"/>
      <x:c r="AB81" s="130"/>
      <x:c r="AC81" s="128"/>
      <x:c r="AD81" s="138" t="str">
        <x:f>IF(COUNTA(A81:H81,K81:N81,Q81:AC81,AF81:AG81)=0,"",IF(A81="","Missing ID",IF(COUNTIF($A$5:$A$104,A81)&gt;1,"Duplicate ID",IF(OR(B81="",C81="",D81="",E81="",F81="",K81="",L81="",R81=""),"Missing assessment context",IF(OR(NOT(ISNUMBER(I81)),NOT(ISNUMBER(O81))),"Incomplete or invalid scores",IF(OR(S81="",NOT(OR(T81="Open",T81="Planned",T81="In Progress",T81="Closed",T81="Accepted"))),"Missing owner or invalid status",IF(NOT(ISNUMBER(U81)),"Missing or invalid target date",IF(U81&lt;=0,"Missing or invalid target date",IF(NOT(OR(Q81="Mitigate",Q81="Accept",Q81="Transfer",Q81="Avoid")),"Invalid treatment",IF(AND(T81="Accepted",Q81&lt;&gt;"Accept"),"Treatment/status conflict",IF(OR(M81&gt;G81,N81&gt;H81),"Review residual increase","OK")))))))))))</x:f>
      </x:c>
      <x:c r="AE81" s="138" t="str">
        <x:f>IF(A81="","",IF(OR(Y81="",NOT(OR(Z81="Scenario only",Z81="Evidence requested",Z81="Evidence reviewed")),AA81="",NOT(ISNUMBER(AB81)),AF81="",AG81=""),"Add assessment support",IF(OR(AB81&lt;=0,AB81&gt;Methodology!$B$25),"Review date outside period",IF(AND(OR(T81="Closed",T81="Accepted"),OR(AC81="",Z81&lt;&gt;"Evidence reviewed")),"Closure review needed",IF(OR(T81="Closed",T81="Accepted"),"Decision recorded",IF(Z81="Evidence reviewed","Evidence recorded","Scenario documented"))))))</x:f>
      </x:c>
      <x:c r="AF81" s="128"/>
      <x:c r="AG81" s="128"/>
    </x:row>
    <x:row r="82" ht="40" customHeight="1">
      <x:c r="A82" s="128"/>
      <x:c r="B82" s="128"/>
      <x:c r="C82" s="128"/>
      <x:c r="D82" s="128"/>
      <x:c r="E82" s="128"/>
      <x:c r="F82" s="128"/>
      <x:c r="G82" s="128"/>
      <x:c r="H82" s="128"/>
      <x:c r="I82" s="138" t="str">
        <x:f>IF(A82="","",IF(COUNT(G82,H82)&lt;&gt;2,"",IF(AND(G82&gt;=1,G82&lt;=5,H82&gt;=1,H82&lt;=5,MOD(G82,1)=0,MOD(H82,1)=0),G82*H82,"")))</x:f>
      </x:c>
      <x:c r="J82" s="138" t="str">
        <x:f>IF(A82="","",IF(ISNUMBER(I82),IF(I82&gt;=16,"Critical",IF(I82&gt;=10,"High",IF(I82&gt;=5,"Medium","Low"))),"Not assessed"))</x:f>
      </x:c>
      <x:c r="K82" s="128"/>
      <x:c r="L82" s="128"/>
      <x:c r="M82" s="128"/>
      <x:c r="N82" s="128"/>
      <x:c r="O82" s="138" t="str">
        <x:f>IF(A82="","",IF(COUNT(M82,N82)&lt;&gt;2,"",IF(AND(M82&gt;=1,M82&lt;=5,N82&gt;=1,N82&lt;=5,MOD(M82,1)=0,MOD(N82,1)=0),M82*N82,"")))</x:f>
      </x:c>
      <x:c r="P82" s="138" t="str">
        <x:f>IF(A82="","",IF(ISNUMBER(O82),IF(O82&gt;=16,"Critical",IF(O82&gt;=10,"High",IF(O82&gt;=5,"Medium","Low"))),"Not assessed"))</x:f>
      </x:c>
      <x:c r="Q82" s="128"/>
      <x:c r="R82" s="128"/>
      <x:c r="S82" s="128"/>
      <x:c r="T82" s="128"/>
      <x:c r="U82" s="130"/>
      <x:c r="V82" s="128"/>
      <x:c r="W82" s="128"/>
      <x:c r="X82" s="128"/>
      <x:c r="Y82" s="128"/>
      <x:c r="Z82" s="128"/>
      <x:c r="AA82" s="128"/>
      <x:c r="AB82" s="130"/>
      <x:c r="AC82" s="128"/>
      <x:c r="AD82" s="138" t="str">
        <x:f>IF(COUNTA(A82:H82,K82:N82,Q82:AC82,AF82:AG82)=0,"",IF(A82="","Missing ID",IF(COUNTIF($A$5:$A$104,A82)&gt;1,"Duplicate ID",IF(OR(B82="",C82="",D82="",E82="",F82="",K82="",L82="",R82=""),"Missing assessment context",IF(OR(NOT(ISNUMBER(I82)),NOT(ISNUMBER(O82))),"Incomplete or invalid scores",IF(OR(S82="",NOT(OR(T82="Open",T82="Planned",T82="In Progress",T82="Closed",T82="Accepted"))),"Missing owner or invalid status",IF(NOT(ISNUMBER(U82)),"Missing or invalid target date",IF(U82&lt;=0,"Missing or invalid target date",IF(NOT(OR(Q82="Mitigate",Q82="Accept",Q82="Transfer",Q82="Avoid")),"Invalid treatment",IF(AND(T82="Accepted",Q82&lt;&gt;"Accept"),"Treatment/status conflict",IF(OR(M82&gt;G82,N82&gt;H82),"Review residual increase","OK")))))))))))</x:f>
      </x:c>
      <x:c r="AE82" s="138" t="str">
        <x:f>IF(A82="","",IF(OR(Y82="",NOT(OR(Z82="Scenario only",Z82="Evidence requested",Z82="Evidence reviewed")),AA82="",NOT(ISNUMBER(AB82)),AF82="",AG82=""),"Add assessment support",IF(OR(AB82&lt;=0,AB82&gt;Methodology!$B$25),"Review date outside period",IF(AND(OR(T82="Closed",T82="Accepted"),OR(AC82="",Z82&lt;&gt;"Evidence reviewed")),"Closure review needed",IF(OR(T82="Closed",T82="Accepted"),"Decision recorded",IF(Z82="Evidence reviewed","Evidence recorded","Scenario documented"))))))</x:f>
      </x:c>
      <x:c r="AF82" s="128"/>
      <x:c r="AG82" s="128"/>
    </x:row>
    <x:row r="83" ht="40" customHeight="1">
      <x:c r="A83" s="128"/>
      <x:c r="B83" s="128"/>
      <x:c r="C83" s="128"/>
      <x:c r="D83" s="128"/>
      <x:c r="E83" s="128"/>
      <x:c r="F83" s="128"/>
      <x:c r="G83" s="128"/>
      <x:c r="H83" s="128"/>
      <x:c r="I83" s="138" t="str">
        <x:f>IF(A83="","",IF(COUNT(G83,H83)&lt;&gt;2,"",IF(AND(G83&gt;=1,G83&lt;=5,H83&gt;=1,H83&lt;=5,MOD(G83,1)=0,MOD(H83,1)=0),G83*H83,"")))</x:f>
      </x:c>
      <x:c r="J83" s="138" t="str">
        <x:f>IF(A83="","",IF(ISNUMBER(I83),IF(I83&gt;=16,"Critical",IF(I83&gt;=10,"High",IF(I83&gt;=5,"Medium","Low"))),"Not assessed"))</x:f>
      </x:c>
      <x:c r="K83" s="128"/>
      <x:c r="L83" s="128"/>
      <x:c r="M83" s="128"/>
      <x:c r="N83" s="128"/>
      <x:c r="O83" s="138" t="str">
        <x:f>IF(A83="","",IF(COUNT(M83,N83)&lt;&gt;2,"",IF(AND(M83&gt;=1,M83&lt;=5,N83&gt;=1,N83&lt;=5,MOD(M83,1)=0,MOD(N83,1)=0),M83*N83,"")))</x:f>
      </x:c>
      <x:c r="P83" s="138" t="str">
        <x:f>IF(A83="","",IF(ISNUMBER(O83),IF(O83&gt;=16,"Critical",IF(O83&gt;=10,"High",IF(O83&gt;=5,"Medium","Low"))),"Not assessed"))</x:f>
      </x:c>
      <x:c r="Q83" s="128"/>
      <x:c r="R83" s="128"/>
      <x:c r="S83" s="128"/>
      <x:c r="T83" s="128"/>
      <x:c r="U83" s="130"/>
      <x:c r="V83" s="128"/>
      <x:c r="W83" s="128"/>
      <x:c r="X83" s="128"/>
      <x:c r="Y83" s="128"/>
      <x:c r="Z83" s="128"/>
      <x:c r="AA83" s="128"/>
      <x:c r="AB83" s="130"/>
      <x:c r="AC83" s="128"/>
      <x:c r="AD83" s="138" t="str">
        <x:f>IF(COUNTA(A83:H83,K83:N83,Q83:AC83,AF83:AG83)=0,"",IF(A83="","Missing ID",IF(COUNTIF($A$5:$A$104,A83)&gt;1,"Duplicate ID",IF(OR(B83="",C83="",D83="",E83="",F83="",K83="",L83="",R83=""),"Missing assessment context",IF(OR(NOT(ISNUMBER(I83)),NOT(ISNUMBER(O83))),"Incomplete or invalid scores",IF(OR(S83="",NOT(OR(T83="Open",T83="Planned",T83="In Progress",T83="Closed",T83="Accepted"))),"Missing owner or invalid status",IF(NOT(ISNUMBER(U83)),"Missing or invalid target date",IF(U83&lt;=0,"Missing or invalid target date",IF(NOT(OR(Q83="Mitigate",Q83="Accept",Q83="Transfer",Q83="Avoid")),"Invalid treatment",IF(AND(T83="Accepted",Q83&lt;&gt;"Accept"),"Treatment/status conflict",IF(OR(M83&gt;G83,N83&gt;H83),"Review residual increase","OK")))))))))))</x:f>
      </x:c>
      <x:c r="AE83" s="138" t="str">
        <x:f>IF(A83="","",IF(OR(Y83="",NOT(OR(Z83="Scenario only",Z83="Evidence requested",Z83="Evidence reviewed")),AA83="",NOT(ISNUMBER(AB83)),AF83="",AG83=""),"Add assessment support",IF(OR(AB83&lt;=0,AB83&gt;Methodology!$B$25),"Review date outside period",IF(AND(OR(T83="Closed",T83="Accepted"),OR(AC83="",Z83&lt;&gt;"Evidence reviewed")),"Closure review needed",IF(OR(T83="Closed",T83="Accepted"),"Decision recorded",IF(Z83="Evidence reviewed","Evidence recorded","Scenario documented"))))))</x:f>
      </x:c>
      <x:c r="AF83" s="128"/>
      <x:c r="AG83" s="128"/>
    </x:row>
    <x:row r="84" ht="40" customHeight="1">
      <x:c r="A84" s="128"/>
      <x:c r="B84" s="128"/>
      <x:c r="C84" s="128"/>
      <x:c r="D84" s="128"/>
      <x:c r="E84" s="128"/>
      <x:c r="F84" s="128"/>
      <x:c r="G84" s="128"/>
      <x:c r="H84" s="128"/>
      <x:c r="I84" s="138" t="str">
        <x:f>IF(A84="","",IF(COUNT(G84,H84)&lt;&gt;2,"",IF(AND(G84&gt;=1,G84&lt;=5,H84&gt;=1,H84&lt;=5,MOD(G84,1)=0,MOD(H84,1)=0),G84*H84,"")))</x:f>
      </x:c>
      <x:c r="J84" s="138" t="str">
        <x:f>IF(A84="","",IF(ISNUMBER(I84),IF(I84&gt;=16,"Critical",IF(I84&gt;=10,"High",IF(I84&gt;=5,"Medium","Low"))),"Not assessed"))</x:f>
      </x:c>
      <x:c r="K84" s="128"/>
      <x:c r="L84" s="128"/>
      <x:c r="M84" s="128"/>
      <x:c r="N84" s="128"/>
      <x:c r="O84" s="138" t="str">
        <x:f>IF(A84="","",IF(COUNT(M84,N84)&lt;&gt;2,"",IF(AND(M84&gt;=1,M84&lt;=5,N84&gt;=1,N84&lt;=5,MOD(M84,1)=0,MOD(N84,1)=0),M84*N84,"")))</x:f>
      </x:c>
      <x:c r="P84" s="138" t="str">
        <x:f>IF(A84="","",IF(ISNUMBER(O84),IF(O84&gt;=16,"Critical",IF(O84&gt;=10,"High",IF(O84&gt;=5,"Medium","Low"))),"Not assessed"))</x:f>
      </x:c>
      <x:c r="Q84" s="128"/>
      <x:c r="R84" s="128"/>
      <x:c r="S84" s="128"/>
      <x:c r="T84" s="128"/>
      <x:c r="U84" s="130"/>
      <x:c r="V84" s="128"/>
      <x:c r="W84" s="128"/>
      <x:c r="X84" s="128"/>
      <x:c r="Y84" s="128"/>
      <x:c r="Z84" s="128"/>
      <x:c r="AA84" s="128"/>
      <x:c r="AB84" s="130"/>
      <x:c r="AC84" s="128"/>
      <x:c r="AD84" s="138" t="str">
        <x:f>IF(COUNTA(A84:H84,K84:N84,Q84:AC84,AF84:AG84)=0,"",IF(A84="","Missing ID",IF(COUNTIF($A$5:$A$104,A84)&gt;1,"Duplicate ID",IF(OR(B84="",C84="",D84="",E84="",F84="",K84="",L84="",R84=""),"Missing assessment context",IF(OR(NOT(ISNUMBER(I84)),NOT(ISNUMBER(O84))),"Incomplete or invalid scores",IF(OR(S84="",NOT(OR(T84="Open",T84="Planned",T84="In Progress",T84="Closed",T84="Accepted"))),"Missing owner or invalid status",IF(NOT(ISNUMBER(U84)),"Missing or invalid target date",IF(U84&lt;=0,"Missing or invalid target date",IF(NOT(OR(Q84="Mitigate",Q84="Accept",Q84="Transfer",Q84="Avoid")),"Invalid treatment",IF(AND(T84="Accepted",Q84&lt;&gt;"Accept"),"Treatment/status conflict",IF(OR(M84&gt;G84,N84&gt;H84),"Review residual increase","OK")))))))))))</x:f>
      </x:c>
      <x:c r="AE84" s="138" t="str">
        <x:f>IF(A84="","",IF(OR(Y84="",NOT(OR(Z84="Scenario only",Z84="Evidence requested",Z84="Evidence reviewed")),AA84="",NOT(ISNUMBER(AB84)),AF84="",AG84=""),"Add assessment support",IF(OR(AB84&lt;=0,AB84&gt;Methodology!$B$25),"Review date outside period",IF(AND(OR(T84="Closed",T84="Accepted"),OR(AC84="",Z84&lt;&gt;"Evidence reviewed")),"Closure review needed",IF(OR(T84="Closed",T84="Accepted"),"Decision recorded",IF(Z84="Evidence reviewed","Evidence recorded","Scenario documented"))))))</x:f>
      </x:c>
      <x:c r="AF84" s="128"/>
      <x:c r="AG84" s="128"/>
    </x:row>
    <x:row r="85" ht="40" customHeight="1">
      <x:c r="A85" s="128"/>
      <x:c r="B85" s="128"/>
      <x:c r="C85" s="128"/>
      <x:c r="D85" s="128"/>
      <x:c r="E85" s="128"/>
      <x:c r="F85" s="128"/>
      <x:c r="G85" s="128"/>
      <x:c r="H85" s="128"/>
      <x:c r="I85" s="138" t="str">
        <x:f>IF(A85="","",IF(COUNT(G85,H85)&lt;&gt;2,"",IF(AND(G85&gt;=1,G85&lt;=5,H85&gt;=1,H85&lt;=5,MOD(G85,1)=0,MOD(H85,1)=0),G85*H85,"")))</x:f>
      </x:c>
      <x:c r="J85" s="138" t="str">
        <x:f>IF(A85="","",IF(ISNUMBER(I85),IF(I85&gt;=16,"Critical",IF(I85&gt;=10,"High",IF(I85&gt;=5,"Medium","Low"))),"Not assessed"))</x:f>
      </x:c>
      <x:c r="K85" s="128"/>
      <x:c r="L85" s="128"/>
      <x:c r="M85" s="128"/>
      <x:c r="N85" s="128"/>
      <x:c r="O85" s="138" t="str">
        <x:f>IF(A85="","",IF(COUNT(M85,N85)&lt;&gt;2,"",IF(AND(M85&gt;=1,M85&lt;=5,N85&gt;=1,N85&lt;=5,MOD(M85,1)=0,MOD(N85,1)=0),M85*N85,"")))</x:f>
      </x:c>
      <x:c r="P85" s="138" t="str">
        <x:f>IF(A85="","",IF(ISNUMBER(O85),IF(O85&gt;=16,"Critical",IF(O85&gt;=10,"High",IF(O85&gt;=5,"Medium","Low"))),"Not assessed"))</x:f>
      </x:c>
      <x:c r="Q85" s="128"/>
      <x:c r="R85" s="128"/>
      <x:c r="S85" s="128"/>
      <x:c r="T85" s="128"/>
      <x:c r="U85" s="130"/>
      <x:c r="V85" s="128"/>
      <x:c r="W85" s="128"/>
      <x:c r="X85" s="128"/>
      <x:c r="Y85" s="128"/>
      <x:c r="Z85" s="128"/>
      <x:c r="AA85" s="128"/>
      <x:c r="AB85" s="130"/>
      <x:c r="AC85" s="128"/>
      <x:c r="AD85" s="138" t="str">
        <x:f>IF(COUNTA(A85:H85,K85:N85,Q85:AC85,AF85:AG85)=0,"",IF(A85="","Missing ID",IF(COUNTIF($A$5:$A$104,A85)&gt;1,"Duplicate ID",IF(OR(B85="",C85="",D85="",E85="",F85="",K85="",L85="",R85=""),"Missing assessment context",IF(OR(NOT(ISNUMBER(I85)),NOT(ISNUMBER(O85))),"Incomplete or invalid scores",IF(OR(S85="",NOT(OR(T85="Open",T85="Planned",T85="In Progress",T85="Closed",T85="Accepted"))),"Missing owner or invalid status",IF(NOT(ISNUMBER(U85)),"Missing or invalid target date",IF(U85&lt;=0,"Missing or invalid target date",IF(NOT(OR(Q85="Mitigate",Q85="Accept",Q85="Transfer",Q85="Avoid")),"Invalid treatment",IF(AND(T85="Accepted",Q85&lt;&gt;"Accept"),"Treatment/status conflict",IF(OR(M85&gt;G85,N85&gt;H85),"Review residual increase","OK")))))))))))</x:f>
      </x:c>
      <x:c r="AE85" s="138" t="str">
        <x:f>IF(A85="","",IF(OR(Y85="",NOT(OR(Z85="Scenario only",Z85="Evidence requested",Z85="Evidence reviewed")),AA85="",NOT(ISNUMBER(AB85)),AF85="",AG85=""),"Add assessment support",IF(OR(AB85&lt;=0,AB85&gt;Methodology!$B$25),"Review date outside period",IF(AND(OR(T85="Closed",T85="Accepted"),OR(AC85="",Z85&lt;&gt;"Evidence reviewed")),"Closure review needed",IF(OR(T85="Closed",T85="Accepted"),"Decision recorded",IF(Z85="Evidence reviewed","Evidence recorded","Scenario documented"))))))</x:f>
      </x:c>
      <x:c r="AF85" s="128"/>
      <x:c r="AG85" s="128"/>
    </x:row>
    <x:row r="86" ht="40" customHeight="1">
      <x:c r="A86" s="128"/>
      <x:c r="B86" s="128"/>
      <x:c r="C86" s="128"/>
      <x:c r="D86" s="128"/>
      <x:c r="E86" s="128"/>
      <x:c r="F86" s="128"/>
      <x:c r="G86" s="128"/>
      <x:c r="H86" s="128"/>
      <x:c r="I86" s="138" t="str">
        <x:f>IF(A86="","",IF(COUNT(G86,H86)&lt;&gt;2,"",IF(AND(G86&gt;=1,G86&lt;=5,H86&gt;=1,H86&lt;=5,MOD(G86,1)=0,MOD(H86,1)=0),G86*H86,"")))</x:f>
      </x:c>
      <x:c r="J86" s="138" t="str">
        <x:f>IF(A86="","",IF(ISNUMBER(I86),IF(I86&gt;=16,"Critical",IF(I86&gt;=10,"High",IF(I86&gt;=5,"Medium","Low"))),"Not assessed"))</x:f>
      </x:c>
      <x:c r="K86" s="128"/>
      <x:c r="L86" s="128"/>
      <x:c r="M86" s="128"/>
      <x:c r="N86" s="128"/>
      <x:c r="O86" s="138" t="str">
        <x:f>IF(A86="","",IF(COUNT(M86,N86)&lt;&gt;2,"",IF(AND(M86&gt;=1,M86&lt;=5,N86&gt;=1,N86&lt;=5,MOD(M86,1)=0,MOD(N86,1)=0),M86*N86,"")))</x:f>
      </x:c>
      <x:c r="P86" s="138" t="str">
        <x:f>IF(A86="","",IF(ISNUMBER(O86),IF(O86&gt;=16,"Critical",IF(O86&gt;=10,"High",IF(O86&gt;=5,"Medium","Low"))),"Not assessed"))</x:f>
      </x:c>
      <x:c r="Q86" s="128"/>
      <x:c r="R86" s="128"/>
      <x:c r="S86" s="128"/>
      <x:c r="T86" s="128"/>
      <x:c r="U86" s="130"/>
      <x:c r="V86" s="128"/>
      <x:c r="W86" s="128"/>
      <x:c r="X86" s="128"/>
      <x:c r="Y86" s="128"/>
      <x:c r="Z86" s="128"/>
      <x:c r="AA86" s="128"/>
      <x:c r="AB86" s="130"/>
      <x:c r="AC86" s="128"/>
      <x:c r="AD86" s="138" t="str">
        <x:f>IF(COUNTA(A86:H86,K86:N86,Q86:AC86,AF86:AG86)=0,"",IF(A86="","Missing ID",IF(COUNTIF($A$5:$A$104,A86)&gt;1,"Duplicate ID",IF(OR(B86="",C86="",D86="",E86="",F86="",K86="",L86="",R86=""),"Missing assessment context",IF(OR(NOT(ISNUMBER(I86)),NOT(ISNUMBER(O86))),"Incomplete or invalid scores",IF(OR(S86="",NOT(OR(T86="Open",T86="Planned",T86="In Progress",T86="Closed",T86="Accepted"))),"Missing owner or invalid status",IF(NOT(ISNUMBER(U86)),"Missing or invalid target date",IF(U86&lt;=0,"Missing or invalid target date",IF(NOT(OR(Q86="Mitigate",Q86="Accept",Q86="Transfer",Q86="Avoid")),"Invalid treatment",IF(AND(T86="Accepted",Q86&lt;&gt;"Accept"),"Treatment/status conflict",IF(OR(M86&gt;G86,N86&gt;H86),"Review residual increase","OK")))))))))))</x:f>
      </x:c>
      <x:c r="AE86" s="138" t="str">
        <x:f>IF(A86="","",IF(OR(Y86="",NOT(OR(Z86="Scenario only",Z86="Evidence requested",Z86="Evidence reviewed")),AA86="",NOT(ISNUMBER(AB86)),AF86="",AG86=""),"Add assessment support",IF(OR(AB86&lt;=0,AB86&gt;Methodology!$B$25),"Review date outside period",IF(AND(OR(T86="Closed",T86="Accepted"),OR(AC86="",Z86&lt;&gt;"Evidence reviewed")),"Closure review needed",IF(OR(T86="Closed",T86="Accepted"),"Decision recorded",IF(Z86="Evidence reviewed","Evidence recorded","Scenario documented"))))))</x:f>
      </x:c>
      <x:c r="AF86" s="128"/>
      <x:c r="AG86" s="128"/>
    </x:row>
    <x:row r="87" ht="40" customHeight="1">
      <x:c r="A87" s="128"/>
      <x:c r="B87" s="128"/>
      <x:c r="C87" s="128"/>
      <x:c r="D87" s="128"/>
      <x:c r="E87" s="128"/>
      <x:c r="F87" s="128"/>
      <x:c r="G87" s="128"/>
      <x:c r="H87" s="128"/>
      <x:c r="I87" s="138" t="str">
        <x:f>IF(A87="","",IF(COUNT(G87,H87)&lt;&gt;2,"",IF(AND(G87&gt;=1,G87&lt;=5,H87&gt;=1,H87&lt;=5,MOD(G87,1)=0,MOD(H87,1)=0),G87*H87,"")))</x:f>
      </x:c>
      <x:c r="J87" s="138" t="str">
        <x:f>IF(A87="","",IF(ISNUMBER(I87),IF(I87&gt;=16,"Critical",IF(I87&gt;=10,"High",IF(I87&gt;=5,"Medium","Low"))),"Not assessed"))</x:f>
      </x:c>
      <x:c r="K87" s="128"/>
      <x:c r="L87" s="128"/>
      <x:c r="M87" s="128"/>
      <x:c r="N87" s="128"/>
      <x:c r="O87" s="138" t="str">
        <x:f>IF(A87="","",IF(COUNT(M87,N87)&lt;&gt;2,"",IF(AND(M87&gt;=1,M87&lt;=5,N87&gt;=1,N87&lt;=5,MOD(M87,1)=0,MOD(N87,1)=0),M87*N87,"")))</x:f>
      </x:c>
      <x:c r="P87" s="138" t="str">
        <x:f>IF(A87="","",IF(ISNUMBER(O87),IF(O87&gt;=16,"Critical",IF(O87&gt;=10,"High",IF(O87&gt;=5,"Medium","Low"))),"Not assessed"))</x:f>
      </x:c>
      <x:c r="Q87" s="128"/>
      <x:c r="R87" s="128"/>
      <x:c r="S87" s="128"/>
      <x:c r="T87" s="128"/>
      <x:c r="U87" s="130"/>
      <x:c r="V87" s="128"/>
      <x:c r="W87" s="128"/>
      <x:c r="X87" s="128"/>
      <x:c r="Y87" s="128"/>
      <x:c r="Z87" s="128"/>
      <x:c r="AA87" s="128"/>
      <x:c r="AB87" s="130"/>
      <x:c r="AC87" s="128"/>
      <x:c r="AD87" s="138" t="str">
        <x:f>IF(COUNTA(A87:H87,K87:N87,Q87:AC87,AF87:AG87)=0,"",IF(A87="","Missing ID",IF(COUNTIF($A$5:$A$104,A87)&gt;1,"Duplicate ID",IF(OR(B87="",C87="",D87="",E87="",F87="",K87="",L87="",R87=""),"Missing assessment context",IF(OR(NOT(ISNUMBER(I87)),NOT(ISNUMBER(O87))),"Incomplete or invalid scores",IF(OR(S87="",NOT(OR(T87="Open",T87="Planned",T87="In Progress",T87="Closed",T87="Accepted"))),"Missing owner or invalid status",IF(NOT(ISNUMBER(U87)),"Missing or invalid target date",IF(U87&lt;=0,"Missing or invalid target date",IF(NOT(OR(Q87="Mitigate",Q87="Accept",Q87="Transfer",Q87="Avoid")),"Invalid treatment",IF(AND(T87="Accepted",Q87&lt;&gt;"Accept"),"Treatment/status conflict",IF(OR(M87&gt;G87,N87&gt;H87),"Review residual increase","OK")))))))))))</x:f>
      </x:c>
      <x:c r="AE87" s="138" t="str">
        <x:f>IF(A87="","",IF(OR(Y87="",NOT(OR(Z87="Scenario only",Z87="Evidence requested",Z87="Evidence reviewed")),AA87="",NOT(ISNUMBER(AB87)),AF87="",AG87=""),"Add assessment support",IF(OR(AB87&lt;=0,AB87&gt;Methodology!$B$25),"Review date outside period",IF(AND(OR(T87="Closed",T87="Accepted"),OR(AC87="",Z87&lt;&gt;"Evidence reviewed")),"Closure review needed",IF(OR(T87="Closed",T87="Accepted"),"Decision recorded",IF(Z87="Evidence reviewed","Evidence recorded","Scenario documented"))))))</x:f>
      </x:c>
      <x:c r="AF87" s="128"/>
      <x:c r="AG87" s="128"/>
    </x:row>
    <x:row r="88" ht="40" customHeight="1">
      <x:c r="A88" s="128"/>
      <x:c r="B88" s="128"/>
      <x:c r="C88" s="128"/>
      <x:c r="D88" s="128"/>
      <x:c r="E88" s="128"/>
      <x:c r="F88" s="128"/>
      <x:c r="G88" s="128"/>
      <x:c r="H88" s="128"/>
      <x:c r="I88" s="138" t="str">
        <x:f>IF(A88="","",IF(COUNT(G88,H88)&lt;&gt;2,"",IF(AND(G88&gt;=1,G88&lt;=5,H88&gt;=1,H88&lt;=5,MOD(G88,1)=0,MOD(H88,1)=0),G88*H88,"")))</x:f>
      </x:c>
      <x:c r="J88" s="138" t="str">
        <x:f>IF(A88="","",IF(ISNUMBER(I88),IF(I88&gt;=16,"Critical",IF(I88&gt;=10,"High",IF(I88&gt;=5,"Medium","Low"))),"Not assessed"))</x:f>
      </x:c>
      <x:c r="K88" s="128"/>
      <x:c r="L88" s="128"/>
      <x:c r="M88" s="128"/>
      <x:c r="N88" s="128"/>
      <x:c r="O88" s="138" t="str">
        <x:f>IF(A88="","",IF(COUNT(M88,N88)&lt;&gt;2,"",IF(AND(M88&gt;=1,M88&lt;=5,N88&gt;=1,N88&lt;=5,MOD(M88,1)=0,MOD(N88,1)=0),M88*N88,"")))</x:f>
      </x:c>
      <x:c r="P88" s="138" t="str">
        <x:f>IF(A88="","",IF(ISNUMBER(O88),IF(O88&gt;=16,"Critical",IF(O88&gt;=10,"High",IF(O88&gt;=5,"Medium","Low"))),"Not assessed"))</x:f>
      </x:c>
      <x:c r="Q88" s="128"/>
      <x:c r="R88" s="128"/>
      <x:c r="S88" s="128"/>
      <x:c r="T88" s="128"/>
      <x:c r="U88" s="130"/>
      <x:c r="V88" s="128"/>
      <x:c r="W88" s="128"/>
      <x:c r="X88" s="128"/>
      <x:c r="Y88" s="128"/>
      <x:c r="Z88" s="128"/>
      <x:c r="AA88" s="128"/>
      <x:c r="AB88" s="130"/>
      <x:c r="AC88" s="128"/>
      <x:c r="AD88" s="138" t="str">
        <x:f>IF(COUNTA(A88:H88,K88:N88,Q88:AC88,AF88:AG88)=0,"",IF(A88="","Missing ID",IF(COUNTIF($A$5:$A$104,A88)&gt;1,"Duplicate ID",IF(OR(B88="",C88="",D88="",E88="",F88="",K88="",L88="",R88=""),"Missing assessment context",IF(OR(NOT(ISNUMBER(I88)),NOT(ISNUMBER(O88))),"Incomplete or invalid scores",IF(OR(S88="",NOT(OR(T88="Open",T88="Planned",T88="In Progress",T88="Closed",T88="Accepted"))),"Missing owner or invalid status",IF(NOT(ISNUMBER(U88)),"Missing or invalid target date",IF(U88&lt;=0,"Missing or invalid target date",IF(NOT(OR(Q88="Mitigate",Q88="Accept",Q88="Transfer",Q88="Avoid")),"Invalid treatment",IF(AND(T88="Accepted",Q88&lt;&gt;"Accept"),"Treatment/status conflict",IF(OR(M88&gt;G88,N88&gt;H88),"Review residual increase","OK")))))))))))</x:f>
      </x:c>
      <x:c r="AE88" s="138" t="str">
        <x:f>IF(A88="","",IF(OR(Y88="",NOT(OR(Z88="Scenario only",Z88="Evidence requested",Z88="Evidence reviewed")),AA88="",NOT(ISNUMBER(AB88)),AF88="",AG88=""),"Add assessment support",IF(OR(AB88&lt;=0,AB88&gt;Methodology!$B$25),"Review date outside period",IF(AND(OR(T88="Closed",T88="Accepted"),OR(AC88="",Z88&lt;&gt;"Evidence reviewed")),"Closure review needed",IF(OR(T88="Closed",T88="Accepted"),"Decision recorded",IF(Z88="Evidence reviewed","Evidence recorded","Scenario documented"))))))</x:f>
      </x:c>
      <x:c r="AF88" s="128"/>
      <x:c r="AG88" s="128"/>
    </x:row>
    <x:row r="89" ht="40" customHeight="1">
      <x:c r="A89" s="128"/>
      <x:c r="B89" s="128"/>
      <x:c r="C89" s="128"/>
      <x:c r="D89" s="128"/>
      <x:c r="E89" s="128"/>
      <x:c r="F89" s="128"/>
      <x:c r="G89" s="128"/>
      <x:c r="H89" s="128"/>
      <x:c r="I89" s="138" t="str">
        <x:f>IF(A89="","",IF(COUNT(G89,H89)&lt;&gt;2,"",IF(AND(G89&gt;=1,G89&lt;=5,H89&gt;=1,H89&lt;=5,MOD(G89,1)=0,MOD(H89,1)=0),G89*H89,"")))</x:f>
      </x:c>
      <x:c r="J89" s="138" t="str">
        <x:f>IF(A89="","",IF(ISNUMBER(I89),IF(I89&gt;=16,"Critical",IF(I89&gt;=10,"High",IF(I89&gt;=5,"Medium","Low"))),"Not assessed"))</x:f>
      </x:c>
      <x:c r="K89" s="128"/>
      <x:c r="L89" s="128"/>
      <x:c r="M89" s="128"/>
      <x:c r="N89" s="128"/>
      <x:c r="O89" s="138" t="str">
        <x:f>IF(A89="","",IF(COUNT(M89,N89)&lt;&gt;2,"",IF(AND(M89&gt;=1,M89&lt;=5,N89&gt;=1,N89&lt;=5,MOD(M89,1)=0,MOD(N89,1)=0),M89*N89,"")))</x:f>
      </x:c>
      <x:c r="P89" s="138" t="str">
        <x:f>IF(A89="","",IF(ISNUMBER(O89),IF(O89&gt;=16,"Critical",IF(O89&gt;=10,"High",IF(O89&gt;=5,"Medium","Low"))),"Not assessed"))</x:f>
      </x:c>
      <x:c r="Q89" s="128"/>
      <x:c r="R89" s="128"/>
      <x:c r="S89" s="128"/>
      <x:c r="T89" s="128"/>
      <x:c r="U89" s="130"/>
      <x:c r="V89" s="128"/>
      <x:c r="W89" s="128"/>
      <x:c r="X89" s="128"/>
      <x:c r="Y89" s="128"/>
      <x:c r="Z89" s="128"/>
      <x:c r="AA89" s="128"/>
      <x:c r="AB89" s="130"/>
      <x:c r="AC89" s="128"/>
      <x:c r="AD89" s="138" t="str">
        <x:f>IF(COUNTA(A89:H89,K89:N89,Q89:AC89,AF89:AG89)=0,"",IF(A89="","Missing ID",IF(COUNTIF($A$5:$A$104,A89)&gt;1,"Duplicate ID",IF(OR(B89="",C89="",D89="",E89="",F89="",K89="",L89="",R89=""),"Missing assessment context",IF(OR(NOT(ISNUMBER(I89)),NOT(ISNUMBER(O89))),"Incomplete or invalid scores",IF(OR(S89="",NOT(OR(T89="Open",T89="Planned",T89="In Progress",T89="Closed",T89="Accepted"))),"Missing owner or invalid status",IF(NOT(ISNUMBER(U89)),"Missing or invalid target date",IF(U89&lt;=0,"Missing or invalid target date",IF(NOT(OR(Q89="Mitigate",Q89="Accept",Q89="Transfer",Q89="Avoid")),"Invalid treatment",IF(AND(T89="Accepted",Q89&lt;&gt;"Accept"),"Treatment/status conflict",IF(OR(M89&gt;G89,N89&gt;H89),"Review residual increase","OK")))))))))))</x:f>
      </x:c>
      <x:c r="AE89" s="138" t="str">
        <x:f>IF(A89="","",IF(OR(Y89="",NOT(OR(Z89="Scenario only",Z89="Evidence requested",Z89="Evidence reviewed")),AA89="",NOT(ISNUMBER(AB89)),AF89="",AG89=""),"Add assessment support",IF(OR(AB89&lt;=0,AB89&gt;Methodology!$B$25),"Review date outside period",IF(AND(OR(T89="Closed",T89="Accepted"),OR(AC89="",Z89&lt;&gt;"Evidence reviewed")),"Closure review needed",IF(OR(T89="Closed",T89="Accepted"),"Decision recorded",IF(Z89="Evidence reviewed","Evidence recorded","Scenario documented"))))))</x:f>
      </x:c>
      <x:c r="AF89" s="128"/>
      <x:c r="AG89" s="128"/>
    </x:row>
    <x:row r="90" ht="40" customHeight="1">
      <x:c r="A90" s="128"/>
      <x:c r="B90" s="128"/>
      <x:c r="C90" s="128"/>
      <x:c r="D90" s="128"/>
      <x:c r="E90" s="128"/>
      <x:c r="F90" s="128"/>
      <x:c r="G90" s="128"/>
      <x:c r="H90" s="128"/>
      <x:c r="I90" s="138" t="str">
        <x:f>IF(A90="","",IF(COUNT(G90,H90)&lt;&gt;2,"",IF(AND(G90&gt;=1,G90&lt;=5,H90&gt;=1,H90&lt;=5,MOD(G90,1)=0,MOD(H90,1)=0),G90*H90,"")))</x:f>
      </x:c>
      <x:c r="J90" s="138" t="str">
        <x:f>IF(A90="","",IF(ISNUMBER(I90),IF(I90&gt;=16,"Critical",IF(I90&gt;=10,"High",IF(I90&gt;=5,"Medium","Low"))),"Not assessed"))</x:f>
      </x:c>
      <x:c r="K90" s="128"/>
      <x:c r="L90" s="128"/>
      <x:c r="M90" s="128"/>
      <x:c r="N90" s="128"/>
      <x:c r="O90" s="138" t="str">
        <x:f>IF(A90="","",IF(COUNT(M90,N90)&lt;&gt;2,"",IF(AND(M90&gt;=1,M90&lt;=5,N90&gt;=1,N90&lt;=5,MOD(M90,1)=0,MOD(N90,1)=0),M90*N90,"")))</x:f>
      </x:c>
      <x:c r="P90" s="138" t="str">
        <x:f>IF(A90="","",IF(ISNUMBER(O90),IF(O90&gt;=16,"Critical",IF(O90&gt;=10,"High",IF(O90&gt;=5,"Medium","Low"))),"Not assessed"))</x:f>
      </x:c>
      <x:c r="Q90" s="128"/>
      <x:c r="R90" s="128"/>
      <x:c r="S90" s="128"/>
      <x:c r="T90" s="128"/>
      <x:c r="U90" s="130"/>
      <x:c r="V90" s="128"/>
      <x:c r="W90" s="128"/>
      <x:c r="X90" s="128"/>
      <x:c r="Y90" s="128"/>
      <x:c r="Z90" s="128"/>
      <x:c r="AA90" s="128"/>
      <x:c r="AB90" s="130"/>
      <x:c r="AC90" s="128"/>
      <x:c r="AD90" s="138" t="str">
        <x:f>IF(COUNTA(A90:H90,K90:N90,Q90:AC90,AF90:AG90)=0,"",IF(A90="","Missing ID",IF(COUNTIF($A$5:$A$104,A90)&gt;1,"Duplicate ID",IF(OR(B90="",C90="",D90="",E90="",F90="",K90="",L90="",R90=""),"Missing assessment context",IF(OR(NOT(ISNUMBER(I90)),NOT(ISNUMBER(O90))),"Incomplete or invalid scores",IF(OR(S90="",NOT(OR(T90="Open",T90="Planned",T90="In Progress",T90="Closed",T90="Accepted"))),"Missing owner or invalid status",IF(NOT(ISNUMBER(U90)),"Missing or invalid target date",IF(U90&lt;=0,"Missing or invalid target date",IF(NOT(OR(Q90="Mitigate",Q90="Accept",Q90="Transfer",Q90="Avoid")),"Invalid treatment",IF(AND(T90="Accepted",Q90&lt;&gt;"Accept"),"Treatment/status conflict",IF(OR(M90&gt;G90,N90&gt;H90),"Review residual increase","OK")))))))))))</x:f>
      </x:c>
      <x:c r="AE90" s="138" t="str">
        <x:f>IF(A90="","",IF(OR(Y90="",NOT(OR(Z90="Scenario only",Z90="Evidence requested",Z90="Evidence reviewed")),AA90="",NOT(ISNUMBER(AB90)),AF90="",AG90=""),"Add assessment support",IF(OR(AB90&lt;=0,AB90&gt;Methodology!$B$25),"Review date outside period",IF(AND(OR(T90="Closed",T90="Accepted"),OR(AC90="",Z90&lt;&gt;"Evidence reviewed")),"Closure review needed",IF(OR(T90="Closed",T90="Accepted"),"Decision recorded",IF(Z90="Evidence reviewed","Evidence recorded","Scenario documented"))))))</x:f>
      </x:c>
      <x:c r="AF90" s="128"/>
      <x:c r="AG90" s="128"/>
    </x:row>
    <x:row r="91" ht="40" customHeight="1">
      <x:c r="A91" s="128"/>
      <x:c r="B91" s="128"/>
      <x:c r="C91" s="128"/>
      <x:c r="D91" s="128"/>
      <x:c r="E91" s="128"/>
      <x:c r="F91" s="128"/>
      <x:c r="G91" s="128"/>
      <x:c r="H91" s="128"/>
      <x:c r="I91" s="138" t="str">
        <x:f>IF(A91="","",IF(COUNT(G91,H91)&lt;&gt;2,"",IF(AND(G91&gt;=1,G91&lt;=5,H91&gt;=1,H91&lt;=5,MOD(G91,1)=0,MOD(H91,1)=0),G91*H91,"")))</x:f>
      </x:c>
      <x:c r="J91" s="138" t="str">
        <x:f>IF(A91="","",IF(ISNUMBER(I91),IF(I91&gt;=16,"Critical",IF(I91&gt;=10,"High",IF(I91&gt;=5,"Medium","Low"))),"Not assessed"))</x:f>
      </x:c>
      <x:c r="K91" s="128"/>
      <x:c r="L91" s="128"/>
      <x:c r="M91" s="128"/>
      <x:c r="N91" s="128"/>
      <x:c r="O91" s="138" t="str">
        <x:f>IF(A91="","",IF(COUNT(M91,N91)&lt;&gt;2,"",IF(AND(M91&gt;=1,M91&lt;=5,N91&gt;=1,N91&lt;=5,MOD(M91,1)=0,MOD(N91,1)=0),M91*N91,"")))</x:f>
      </x:c>
      <x:c r="P91" s="138" t="str">
        <x:f>IF(A91="","",IF(ISNUMBER(O91),IF(O91&gt;=16,"Critical",IF(O91&gt;=10,"High",IF(O91&gt;=5,"Medium","Low"))),"Not assessed"))</x:f>
      </x:c>
      <x:c r="Q91" s="128"/>
      <x:c r="R91" s="128"/>
      <x:c r="S91" s="128"/>
      <x:c r="T91" s="128"/>
      <x:c r="U91" s="130"/>
      <x:c r="V91" s="128"/>
      <x:c r="W91" s="128"/>
      <x:c r="X91" s="128"/>
      <x:c r="Y91" s="128"/>
      <x:c r="Z91" s="128"/>
      <x:c r="AA91" s="128"/>
      <x:c r="AB91" s="130"/>
      <x:c r="AC91" s="128"/>
      <x:c r="AD91" s="138" t="str">
        <x:f>IF(COUNTA(A91:H91,K91:N91,Q91:AC91,AF91:AG91)=0,"",IF(A91="","Missing ID",IF(COUNTIF($A$5:$A$104,A91)&gt;1,"Duplicate ID",IF(OR(B91="",C91="",D91="",E91="",F91="",K91="",L91="",R91=""),"Missing assessment context",IF(OR(NOT(ISNUMBER(I91)),NOT(ISNUMBER(O91))),"Incomplete or invalid scores",IF(OR(S91="",NOT(OR(T91="Open",T91="Planned",T91="In Progress",T91="Closed",T91="Accepted"))),"Missing owner or invalid status",IF(NOT(ISNUMBER(U91)),"Missing or invalid target date",IF(U91&lt;=0,"Missing or invalid target date",IF(NOT(OR(Q91="Mitigate",Q91="Accept",Q91="Transfer",Q91="Avoid")),"Invalid treatment",IF(AND(T91="Accepted",Q91&lt;&gt;"Accept"),"Treatment/status conflict",IF(OR(M91&gt;G91,N91&gt;H91),"Review residual increase","OK")))))))))))</x:f>
      </x:c>
      <x:c r="AE91" s="138" t="str">
        <x:f>IF(A91="","",IF(OR(Y91="",NOT(OR(Z91="Scenario only",Z91="Evidence requested",Z91="Evidence reviewed")),AA91="",NOT(ISNUMBER(AB91)),AF91="",AG91=""),"Add assessment support",IF(OR(AB91&lt;=0,AB91&gt;Methodology!$B$25),"Review date outside period",IF(AND(OR(T91="Closed",T91="Accepted"),OR(AC91="",Z91&lt;&gt;"Evidence reviewed")),"Closure review needed",IF(OR(T91="Closed",T91="Accepted"),"Decision recorded",IF(Z91="Evidence reviewed","Evidence recorded","Scenario documented"))))))</x:f>
      </x:c>
      <x:c r="AF91" s="128"/>
      <x:c r="AG91" s="128"/>
    </x:row>
    <x:row r="92" ht="40" customHeight="1">
      <x:c r="A92" s="128"/>
      <x:c r="B92" s="128"/>
      <x:c r="C92" s="128"/>
      <x:c r="D92" s="128"/>
      <x:c r="E92" s="128"/>
      <x:c r="F92" s="128"/>
      <x:c r="G92" s="128"/>
      <x:c r="H92" s="128"/>
      <x:c r="I92" s="138" t="str">
        <x:f>IF(A92="","",IF(COUNT(G92,H92)&lt;&gt;2,"",IF(AND(G92&gt;=1,G92&lt;=5,H92&gt;=1,H92&lt;=5,MOD(G92,1)=0,MOD(H92,1)=0),G92*H92,"")))</x:f>
      </x:c>
      <x:c r="J92" s="138" t="str">
        <x:f>IF(A92="","",IF(ISNUMBER(I92),IF(I92&gt;=16,"Critical",IF(I92&gt;=10,"High",IF(I92&gt;=5,"Medium","Low"))),"Not assessed"))</x:f>
      </x:c>
      <x:c r="K92" s="128"/>
      <x:c r="L92" s="128"/>
      <x:c r="M92" s="128"/>
      <x:c r="N92" s="128"/>
      <x:c r="O92" s="138" t="str">
        <x:f>IF(A92="","",IF(COUNT(M92,N92)&lt;&gt;2,"",IF(AND(M92&gt;=1,M92&lt;=5,N92&gt;=1,N92&lt;=5,MOD(M92,1)=0,MOD(N92,1)=0),M92*N92,"")))</x:f>
      </x:c>
      <x:c r="P92" s="138" t="str">
        <x:f>IF(A92="","",IF(ISNUMBER(O92),IF(O92&gt;=16,"Critical",IF(O92&gt;=10,"High",IF(O92&gt;=5,"Medium","Low"))),"Not assessed"))</x:f>
      </x:c>
      <x:c r="Q92" s="128"/>
      <x:c r="R92" s="128"/>
      <x:c r="S92" s="128"/>
      <x:c r="T92" s="128"/>
      <x:c r="U92" s="130"/>
      <x:c r="V92" s="128"/>
      <x:c r="W92" s="128"/>
      <x:c r="X92" s="128"/>
      <x:c r="Y92" s="128"/>
      <x:c r="Z92" s="128"/>
      <x:c r="AA92" s="128"/>
      <x:c r="AB92" s="130"/>
      <x:c r="AC92" s="128"/>
      <x:c r="AD92" s="138" t="str">
        <x:f>IF(COUNTA(A92:H92,K92:N92,Q92:AC92,AF92:AG92)=0,"",IF(A92="","Missing ID",IF(COUNTIF($A$5:$A$104,A92)&gt;1,"Duplicate ID",IF(OR(B92="",C92="",D92="",E92="",F92="",K92="",L92="",R92=""),"Missing assessment context",IF(OR(NOT(ISNUMBER(I92)),NOT(ISNUMBER(O92))),"Incomplete or invalid scores",IF(OR(S92="",NOT(OR(T92="Open",T92="Planned",T92="In Progress",T92="Closed",T92="Accepted"))),"Missing owner or invalid status",IF(NOT(ISNUMBER(U92)),"Missing or invalid target date",IF(U92&lt;=0,"Missing or invalid target date",IF(NOT(OR(Q92="Mitigate",Q92="Accept",Q92="Transfer",Q92="Avoid")),"Invalid treatment",IF(AND(T92="Accepted",Q92&lt;&gt;"Accept"),"Treatment/status conflict",IF(OR(M92&gt;G92,N92&gt;H92),"Review residual increase","OK")))))))))))</x:f>
      </x:c>
      <x:c r="AE92" s="138" t="str">
        <x:f>IF(A92="","",IF(OR(Y92="",NOT(OR(Z92="Scenario only",Z92="Evidence requested",Z92="Evidence reviewed")),AA92="",NOT(ISNUMBER(AB92)),AF92="",AG92=""),"Add assessment support",IF(OR(AB92&lt;=0,AB92&gt;Methodology!$B$25),"Review date outside period",IF(AND(OR(T92="Closed",T92="Accepted"),OR(AC92="",Z92&lt;&gt;"Evidence reviewed")),"Closure review needed",IF(OR(T92="Closed",T92="Accepted"),"Decision recorded",IF(Z92="Evidence reviewed","Evidence recorded","Scenario documented"))))))</x:f>
      </x:c>
      <x:c r="AF92" s="128"/>
      <x:c r="AG92" s="128"/>
    </x:row>
    <x:row r="93" ht="40" customHeight="1">
      <x:c r="A93" s="128"/>
      <x:c r="B93" s="128"/>
      <x:c r="C93" s="128"/>
      <x:c r="D93" s="128"/>
      <x:c r="E93" s="128"/>
      <x:c r="F93" s="128"/>
      <x:c r="G93" s="128"/>
      <x:c r="H93" s="128"/>
      <x:c r="I93" s="138" t="str">
        <x:f>IF(A93="","",IF(COUNT(G93,H93)&lt;&gt;2,"",IF(AND(G93&gt;=1,G93&lt;=5,H93&gt;=1,H93&lt;=5,MOD(G93,1)=0,MOD(H93,1)=0),G93*H93,"")))</x:f>
      </x:c>
      <x:c r="J93" s="138" t="str">
        <x:f>IF(A93="","",IF(ISNUMBER(I93),IF(I93&gt;=16,"Critical",IF(I93&gt;=10,"High",IF(I93&gt;=5,"Medium","Low"))),"Not assessed"))</x:f>
      </x:c>
      <x:c r="K93" s="128"/>
      <x:c r="L93" s="128"/>
      <x:c r="M93" s="128"/>
      <x:c r="N93" s="128"/>
      <x:c r="O93" s="138" t="str">
        <x:f>IF(A93="","",IF(COUNT(M93,N93)&lt;&gt;2,"",IF(AND(M93&gt;=1,M93&lt;=5,N93&gt;=1,N93&lt;=5,MOD(M93,1)=0,MOD(N93,1)=0),M93*N93,"")))</x:f>
      </x:c>
      <x:c r="P93" s="138" t="str">
        <x:f>IF(A93="","",IF(ISNUMBER(O93),IF(O93&gt;=16,"Critical",IF(O93&gt;=10,"High",IF(O93&gt;=5,"Medium","Low"))),"Not assessed"))</x:f>
      </x:c>
      <x:c r="Q93" s="128"/>
      <x:c r="R93" s="128"/>
      <x:c r="S93" s="128"/>
      <x:c r="T93" s="128"/>
      <x:c r="U93" s="130"/>
      <x:c r="V93" s="128"/>
      <x:c r="W93" s="128"/>
      <x:c r="X93" s="128"/>
      <x:c r="Y93" s="128"/>
      <x:c r="Z93" s="128"/>
      <x:c r="AA93" s="128"/>
      <x:c r="AB93" s="130"/>
      <x:c r="AC93" s="128"/>
      <x:c r="AD93" s="138" t="str">
        <x:f>IF(COUNTA(A93:H93,K93:N93,Q93:AC93,AF93:AG93)=0,"",IF(A93="","Missing ID",IF(COUNTIF($A$5:$A$104,A93)&gt;1,"Duplicate ID",IF(OR(B93="",C93="",D93="",E93="",F93="",K93="",L93="",R93=""),"Missing assessment context",IF(OR(NOT(ISNUMBER(I93)),NOT(ISNUMBER(O93))),"Incomplete or invalid scores",IF(OR(S93="",NOT(OR(T93="Open",T93="Planned",T93="In Progress",T93="Closed",T93="Accepted"))),"Missing owner or invalid status",IF(NOT(ISNUMBER(U93)),"Missing or invalid target date",IF(U93&lt;=0,"Missing or invalid target date",IF(NOT(OR(Q93="Mitigate",Q93="Accept",Q93="Transfer",Q93="Avoid")),"Invalid treatment",IF(AND(T93="Accepted",Q93&lt;&gt;"Accept"),"Treatment/status conflict",IF(OR(M93&gt;G93,N93&gt;H93),"Review residual increase","OK")))))))))))</x:f>
      </x:c>
      <x:c r="AE93" s="138" t="str">
        <x:f>IF(A93="","",IF(OR(Y93="",NOT(OR(Z93="Scenario only",Z93="Evidence requested",Z93="Evidence reviewed")),AA93="",NOT(ISNUMBER(AB93)),AF93="",AG93=""),"Add assessment support",IF(OR(AB93&lt;=0,AB93&gt;Methodology!$B$25),"Review date outside period",IF(AND(OR(T93="Closed",T93="Accepted"),OR(AC93="",Z93&lt;&gt;"Evidence reviewed")),"Closure review needed",IF(OR(T93="Closed",T93="Accepted"),"Decision recorded",IF(Z93="Evidence reviewed","Evidence recorded","Scenario documented"))))))</x:f>
      </x:c>
      <x:c r="AF93" s="128"/>
      <x:c r="AG93" s="128"/>
    </x:row>
    <x:row r="94" ht="40" customHeight="1">
      <x:c r="A94" s="128"/>
      <x:c r="B94" s="128"/>
      <x:c r="C94" s="128"/>
      <x:c r="D94" s="128"/>
      <x:c r="E94" s="128"/>
      <x:c r="F94" s="128"/>
      <x:c r="G94" s="128"/>
      <x:c r="H94" s="128"/>
      <x:c r="I94" s="138" t="str">
        <x:f>IF(A94="","",IF(COUNT(G94,H94)&lt;&gt;2,"",IF(AND(G94&gt;=1,G94&lt;=5,H94&gt;=1,H94&lt;=5,MOD(G94,1)=0,MOD(H94,1)=0),G94*H94,"")))</x:f>
      </x:c>
      <x:c r="J94" s="138" t="str">
        <x:f>IF(A94="","",IF(ISNUMBER(I94),IF(I94&gt;=16,"Critical",IF(I94&gt;=10,"High",IF(I94&gt;=5,"Medium","Low"))),"Not assessed"))</x:f>
      </x:c>
      <x:c r="K94" s="128"/>
      <x:c r="L94" s="128"/>
      <x:c r="M94" s="128"/>
      <x:c r="N94" s="128"/>
      <x:c r="O94" s="138" t="str">
        <x:f>IF(A94="","",IF(COUNT(M94,N94)&lt;&gt;2,"",IF(AND(M94&gt;=1,M94&lt;=5,N94&gt;=1,N94&lt;=5,MOD(M94,1)=0,MOD(N94,1)=0),M94*N94,"")))</x:f>
      </x:c>
      <x:c r="P94" s="138" t="str">
        <x:f>IF(A94="","",IF(ISNUMBER(O94),IF(O94&gt;=16,"Critical",IF(O94&gt;=10,"High",IF(O94&gt;=5,"Medium","Low"))),"Not assessed"))</x:f>
      </x:c>
      <x:c r="Q94" s="128"/>
      <x:c r="R94" s="128"/>
      <x:c r="S94" s="128"/>
      <x:c r="T94" s="128"/>
      <x:c r="U94" s="130"/>
      <x:c r="V94" s="128"/>
      <x:c r="W94" s="128"/>
      <x:c r="X94" s="128"/>
      <x:c r="Y94" s="128"/>
      <x:c r="Z94" s="128"/>
      <x:c r="AA94" s="128"/>
      <x:c r="AB94" s="130"/>
      <x:c r="AC94" s="128"/>
      <x:c r="AD94" s="138" t="str">
        <x:f>IF(COUNTA(A94:H94,K94:N94,Q94:AC94,AF94:AG94)=0,"",IF(A94="","Missing ID",IF(COUNTIF($A$5:$A$104,A94)&gt;1,"Duplicate ID",IF(OR(B94="",C94="",D94="",E94="",F94="",K94="",L94="",R94=""),"Missing assessment context",IF(OR(NOT(ISNUMBER(I94)),NOT(ISNUMBER(O94))),"Incomplete or invalid scores",IF(OR(S94="",NOT(OR(T94="Open",T94="Planned",T94="In Progress",T94="Closed",T94="Accepted"))),"Missing owner or invalid status",IF(NOT(ISNUMBER(U94)),"Missing or invalid target date",IF(U94&lt;=0,"Missing or invalid target date",IF(NOT(OR(Q94="Mitigate",Q94="Accept",Q94="Transfer",Q94="Avoid")),"Invalid treatment",IF(AND(T94="Accepted",Q94&lt;&gt;"Accept"),"Treatment/status conflict",IF(OR(M94&gt;G94,N94&gt;H94),"Review residual increase","OK")))))))))))</x:f>
      </x:c>
      <x:c r="AE94" s="138" t="str">
        <x:f>IF(A94="","",IF(OR(Y94="",NOT(OR(Z94="Scenario only",Z94="Evidence requested",Z94="Evidence reviewed")),AA94="",NOT(ISNUMBER(AB94)),AF94="",AG94=""),"Add assessment support",IF(OR(AB94&lt;=0,AB94&gt;Methodology!$B$25),"Review date outside period",IF(AND(OR(T94="Closed",T94="Accepted"),OR(AC94="",Z94&lt;&gt;"Evidence reviewed")),"Closure review needed",IF(OR(T94="Closed",T94="Accepted"),"Decision recorded",IF(Z94="Evidence reviewed","Evidence recorded","Scenario documented"))))))</x:f>
      </x:c>
      <x:c r="AF94" s="128"/>
      <x:c r="AG94" s="128"/>
    </x:row>
    <x:row r="95" ht="40" customHeight="1">
      <x:c r="A95" s="128"/>
      <x:c r="B95" s="128"/>
      <x:c r="C95" s="128"/>
      <x:c r="D95" s="128"/>
      <x:c r="E95" s="128"/>
      <x:c r="F95" s="128"/>
      <x:c r="G95" s="128"/>
      <x:c r="H95" s="128"/>
      <x:c r="I95" s="138" t="str">
        <x:f>IF(A95="","",IF(COUNT(G95,H95)&lt;&gt;2,"",IF(AND(G95&gt;=1,G95&lt;=5,H95&gt;=1,H95&lt;=5,MOD(G95,1)=0,MOD(H95,1)=0),G95*H95,"")))</x:f>
      </x:c>
      <x:c r="J95" s="138" t="str">
        <x:f>IF(A95="","",IF(ISNUMBER(I95),IF(I95&gt;=16,"Critical",IF(I95&gt;=10,"High",IF(I95&gt;=5,"Medium","Low"))),"Not assessed"))</x:f>
      </x:c>
      <x:c r="K95" s="128"/>
      <x:c r="L95" s="128"/>
      <x:c r="M95" s="128"/>
      <x:c r="N95" s="128"/>
      <x:c r="O95" s="138" t="str">
        <x:f>IF(A95="","",IF(COUNT(M95,N95)&lt;&gt;2,"",IF(AND(M95&gt;=1,M95&lt;=5,N95&gt;=1,N95&lt;=5,MOD(M95,1)=0,MOD(N95,1)=0),M95*N95,"")))</x:f>
      </x:c>
      <x:c r="P95" s="138" t="str">
        <x:f>IF(A95="","",IF(ISNUMBER(O95),IF(O95&gt;=16,"Critical",IF(O95&gt;=10,"High",IF(O95&gt;=5,"Medium","Low"))),"Not assessed"))</x:f>
      </x:c>
      <x:c r="Q95" s="128"/>
      <x:c r="R95" s="128"/>
      <x:c r="S95" s="128"/>
      <x:c r="T95" s="128"/>
      <x:c r="U95" s="130"/>
      <x:c r="V95" s="128"/>
      <x:c r="W95" s="128"/>
      <x:c r="X95" s="128"/>
      <x:c r="Y95" s="128"/>
      <x:c r="Z95" s="128"/>
      <x:c r="AA95" s="128"/>
      <x:c r="AB95" s="130"/>
      <x:c r="AC95" s="128"/>
      <x:c r="AD95" s="138" t="str">
        <x:f>IF(COUNTA(A95:H95,K95:N95,Q95:AC95,AF95:AG95)=0,"",IF(A95="","Missing ID",IF(COUNTIF($A$5:$A$104,A95)&gt;1,"Duplicate ID",IF(OR(B95="",C95="",D95="",E95="",F95="",K95="",L95="",R95=""),"Missing assessment context",IF(OR(NOT(ISNUMBER(I95)),NOT(ISNUMBER(O95))),"Incomplete or invalid scores",IF(OR(S95="",NOT(OR(T95="Open",T95="Planned",T95="In Progress",T95="Closed",T95="Accepted"))),"Missing owner or invalid status",IF(NOT(ISNUMBER(U95)),"Missing or invalid target date",IF(U95&lt;=0,"Missing or invalid target date",IF(NOT(OR(Q95="Mitigate",Q95="Accept",Q95="Transfer",Q95="Avoid")),"Invalid treatment",IF(AND(T95="Accepted",Q95&lt;&gt;"Accept"),"Treatment/status conflict",IF(OR(M95&gt;G95,N95&gt;H95),"Review residual increase","OK")))))))))))</x:f>
      </x:c>
      <x:c r="AE95" s="138" t="str">
        <x:f>IF(A95="","",IF(OR(Y95="",NOT(OR(Z95="Scenario only",Z95="Evidence requested",Z95="Evidence reviewed")),AA95="",NOT(ISNUMBER(AB95)),AF95="",AG95=""),"Add assessment support",IF(OR(AB95&lt;=0,AB95&gt;Methodology!$B$25),"Review date outside period",IF(AND(OR(T95="Closed",T95="Accepted"),OR(AC95="",Z95&lt;&gt;"Evidence reviewed")),"Closure review needed",IF(OR(T95="Closed",T95="Accepted"),"Decision recorded",IF(Z95="Evidence reviewed","Evidence recorded","Scenario documented"))))))</x:f>
      </x:c>
      <x:c r="AF95" s="128"/>
      <x:c r="AG95" s="128"/>
    </x:row>
    <x:row r="96" ht="40" customHeight="1">
      <x:c r="A96" s="128"/>
      <x:c r="B96" s="128"/>
      <x:c r="C96" s="128"/>
      <x:c r="D96" s="128"/>
      <x:c r="E96" s="128"/>
      <x:c r="F96" s="128"/>
      <x:c r="G96" s="128"/>
      <x:c r="H96" s="128"/>
      <x:c r="I96" s="138" t="str">
        <x:f>IF(A96="","",IF(COUNT(G96,H96)&lt;&gt;2,"",IF(AND(G96&gt;=1,G96&lt;=5,H96&gt;=1,H96&lt;=5,MOD(G96,1)=0,MOD(H96,1)=0),G96*H96,"")))</x:f>
      </x:c>
      <x:c r="J96" s="138" t="str">
        <x:f>IF(A96="","",IF(ISNUMBER(I96),IF(I96&gt;=16,"Critical",IF(I96&gt;=10,"High",IF(I96&gt;=5,"Medium","Low"))),"Not assessed"))</x:f>
      </x:c>
      <x:c r="K96" s="128"/>
      <x:c r="L96" s="128"/>
      <x:c r="M96" s="128"/>
      <x:c r="N96" s="128"/>
      <x:c r="O96" s="138" t="str">
        <x:f>IF(A96="","",IF(COUNT(M96,N96)&lt;&gt;2,"",IF(AND(M96&gt;=1,M96&lt;=5,N96&gt;=1,N96&lt;=5,MOD(M96,1)=0,MOD(N96,1)=0),M96*N96,"")))</x:f>
      </x:c>
      <x:c r="P96" s="138" t="str">
        <x:f>IF(A96="","",IF(ISNUMBER(O96),IF(O96&gt;=16,"Critical",IF(O96&gt;=10,"High",IF(O96&gt;=5,"Medium","Low"))),"Not assessed"))</x:f>
      </x:c>
      <x:c r="Q96" s="128"/>
      <x:c r="R96" s="128"/>
      <x:c r="S96" s="128"/>
      <x:c r="T96" s="128"/>
      <x:c r="U96" s="130"/>
      <x:c r="V96" s="128"/>
      <x:c r="W96" s="128"/>
      <x:c r="X96" s="128"/>
      <x:c r="Y96" s="128"/>
      <x:c r="Z96" s="128"/>
      <x:c r="AA96" s="128"/>
      <x:c r="AB96" s="130"/>
      <x:c r="AC96" s="128"/>
      <x:c r="AD96" s="138" t="str">
        <x:f>IF(COUNTA(A96:H96,K96:N96,Q96:AC96,AF96:AG96)=0,"",IF(A96="","Missing ID",IF(COUNTIF($A$5:$A$104,A96)&gt;1,"Duplicate ID",IF(OR(B96="",C96="",D96="",E96="",F96="",K96="",L96="",R96=""),"Missing assessment context",IF(OR(NOT(ISNUMBER(I96)),NOT(ISNUMBER(O96))),"Incomplete or invalid scores",IF(OR(S96="",NOT(OR(T96="Open",T96="Planned",T96="In Progress",T96="Closed",T96="Accepted"))),"Missing owner or invalid status",IF(NOT(ISNUMBER(U96)),"Missing or invalid target date",IF(U96&lt;=0,"Missing or invalid target date",IF(NOT(OR(Q96="Mitigate",Q96="Accept",Q96="Transfer",Q96="Avoid")),"Invalid treatment",IF(AND(T96="Accepted",Q96&lt;&gt;"Accept"),"Treatment/status conflict",IF(OR(M96&gt;G96,N96&gt;H96),"Review residual increase","OK")))))))))))</x:f>
      </x:c>
      <x:c r="AE96" s="138" t="str">
        <x:f>IF(A96="","",IF(OR(Y96="",NOT(OR(Z96="Scenario only",Z96="Evidence requested",Z96="Evidence reviewed")),AA96="",NOT(ISNUMBER(AB96)),AF96="",AG96=""),"Add assessment support",IF(OR(AB96&lt;=0,AB96&gt;Methodology!$B$25),"Review date outside period",IF(AND(OR(T96="Closed",T96="Accepted"),OR(AC96="",Z96&lt;&gt;"Evidence reviewed")),"Closure review needed",IF(OR(T96="Closed",T96="Accepted"),"Decision recorded",IF(Z96="Evidence reviewed","Evidence recorded","Scenario documented"))))))</x:f>
      </x:c>
      <x:c r="AF96" s="128"/>
      <x:c r="AG96" s="128"/>
    </x:row>
    <x:row r="97" ht="40" customHeight="1">
      <x:c r="A97" s="128"/>
      <x:c r="B97" s="128"/>
      <x:c r="C97" s="128"/>
      <x:c r="D97" s="128"/>
      <x:c r="E97" s="128"/>
      <x:c r="F97" s="128"/>
      <x:c r="G97" s="128"/>
      <x:c r="H97" s="128"/>
      <x:c r="I97" s="138" t="str">
        <x:f>IF(A97="","",IF(COUNT(G97,H97)&lt;&gt;2,"",IF(AND(G97&gt;=1,G97&lt;=5,H97&gt;=1,H97&lt;=5,MOD(G97,1)=0,MOD(H97,1)=0),G97*H97,"")))</x:f>
      </x:c>
      <x:c r="J97" s="138" t="str">
        <x:f>IF(A97="","",IF(ISNUMBER(I97),IF(I97&gt;=16,"Critical",IF(I97&gt;=10,"High",IF(I97&gt;=5,"Medium","Low"))),"Not assessed"))</x:f>
      </x:c>
      <x:c r="K97" s="128"/>
      <x:c r="L97" s="128"/>
      <x:c r="M97" s="128"/>
      <x:c r="N97" s="128"/>
      <x:c r="O97" s="138" t="str">
        <x:f>IF(A97="","",IF(COUNT(M97,N97)&lt;&gt;2,"",IF(AND(M97&gt;=1,M97&lt;=5,N97&gt;=1,N97&lt;=5,MOD(M97,1)=0,MOD(N97,1)=0),M97*N97,"")))</x:f>
      </x:c>
      <x:c r="P97" s="138" t="str">
        <x:f>IF(A97="","",IF(ISNUMBER(O97),IF(O97&gt;=16,"Critical",IF(O97&gt;=10,"High",IF(O97&gt;=5,"Medium","Low"))),"Not assessed"))</x:f>
      </x:c>
      <x:c r="Q97" s="128"/>
      <x:c r="R97" s="128"/>
      <x:c r="S97" s="128"/>
      <x:c r="T97" s="128"/>
      <x:c r="U97" s="130"/>
      <x:c r="V97" s="128"/>
      <x:c r="W97" s="128"/>
      <x:c r="X97" s="128"/>
      <x:c r="Y97" s="128"/>
      <x:c r="Z97" s="128"/>
      <x:c r="AA97" s="128"/>
      <x:c r="AB97" s="130"/>
      <x:c r="AC97" s="128"/>
      <x:c r="AD97" s="138" t="str">
        <x:f>IF(COUNTA(A97:H97,K97:N97,Q97:AC97,AF97:AG97)=0,"",IF(A97="","Missing ID",IF(COUNTIF($A$5:$A$104,A97)&gt;1,"Duplicate ID",IF(OR(B97="",C97="",D97="",E97="",F97="",K97="",L97="",R97=""),"Missing assessment context",IF(OR(NOT(ISNUMBER(I97)),NOT(ISNUMBER(O97))),"Incomplete or invalid scores",IF(OR(S97="",NOT(OR(T97="Open",T97="Planned",T97="In Progress",T97="Closed",T97="Accepted"))),"Missing owner or invalid status",IF(NOT(ISNUMBER(U97)),"Missing or invalid target date",IF(U97&lt;=0,"Missing or invalid target date",IF(NOT(OR(Q97="Mitigate",Q97="Accept",Q97="Transfer",Q97="Avoid")),"Invalid treatment",IF(AND(T97="Accepted",Q97&lt;&gt;"Accept"),"Treatment/status conflict",IF(OR(M97&gt;G97,N97&gt;H97),"Review residual increase","OK")))))))))))</x:f>
      </x:c>
      <x:c r="AE97" s="138" t="str">
        <x:f>IF(A97="","",IF(OR(Y97="",NOT(OR(Z97="Scenario only",Z97="Evidence requested",Z97="Evidence reviewed")),AA97="",NOT(ISNUMBER(AB97)),AF97="",AG97=""),"Add assessment support",IF(OR(AB97&lt;=0,AB97&gt;Methodology!$B$25),"Review date outside period",IF(AND(OR(T97="Closed",T97="Accepted"),OR(AC97="",Z97&lt;&gt;"Evidence reviewed")),"Closure review needed",IF(OR(T97="Closed",T97="Accepted"),"Decision recorded",IF(Z97="Evidence reviewed","Evidence recorded","Scenario documented"))))))</x:f>
      </x:c>
      <x:c r="AF97" s="128"/>
      <x:c r="AG97" s="128"/>
    </x:row>
    <x:row r="98" ht="40" customHeight="1">
      <x:c r="A98" s="128"/>
      <x:c r="B98" s="128"/>
      <x:c r="C98" s="128"/>
      <x:c r="D98" s="128"/>
      <x:c r="E98" s="128"/>
      <x:c r="F98" s="128"/>
      <x:c r="G98" s="128"/>
      <x:c r="H98" s="128"/>
      <x:c r="I98" s="138" t="str">
        <x:f>IF(A98="","",IF(COUNT(G98,H98)&lt;&gt;2,"",IF(AND(G98&gt;=1,G98&lt;=5,H98&gt;=1,H98&lt;=5,MOD(G98,1)=0,MOD(H98,1)=0),G98*H98,"")))</x:f>
      </x:c>
      <x:c r="J98" s="138" t="str">
        <x:f>IF(A98="","",IF(ISNUMBER(I98),IF(I98&gt;=16,"Critical",IF(I98&gt;=10,"High",IF(I98&gt;=5,"Medium","Low"))),"Not assessed"))</x:f>
      </x:c>
      <x:c r="K98" s="128"/>
      <x:c r="L98" s="128"/>
      <x:c r="M98" s="128"/>
      <x:c r="N98" s="128"/>
      <x:c r="O98" s="138" t="str">
        <x:f>IF(A98="","",IF(COUNT(M98,N98)&lt;&gt;2,"",IF(AND(M98&gt;=1,M98&lt;=5,N98&gt;=1,N98&lt;=5,MOD(M98,1)=0,MOD(N98,1)=0),M98*N98,"")))</x:f>
      </x:c>
      <x:c r="P98" s="138" t="str">
        <x:f>IF(A98="","",IF(ISNUMBER(O98),IF(O98&gt;=16,"Critical",IF(O98&gt;=10,"High",IF(O98&gt;=5,"Medium","Low"))),"Not assessed"))</x:f>
      </x:c>
      <x:c r="Q98" s="128"/>
      <x:c r="R98" s="128"/>
      <x:c r="S98" s="128"/>
      <x:c r="T98" s="128"/>
      <x:c r="U98" s="130"/>
      <x:c r="V98" s="128"/>
      <x:c r="W98" s="128"/>
      <x:c r="X98" s="128"/>
      <x:c r="Y98" s="128"/>
      <x:c r="Z98" s="128"/>
      <x:c r="AA98" s="128"/>
      <x:c r="AB98" s="130"/>
      <x:c r="AC98" s="128"/>
      <x:c r="AD98" s="138" t="str">
        <x:f>IF(COUNTA(A98:H98,K98:N98,Q98:AC98,AF98:AG98)=0,"",IF(A98="","Missing ID",IF(COUNTIF($A$5:$A$104,A98)&gt;1,"Duplicate ID",IF(OR(B98="",C98="",D98="",E98="",F98="",K98="",L98="",R98=""),"Missing assessment context",IF(OR(NOT(ISNUMBER(I98)),NOT(ISNUMBER(O98))),"Incomplete or invalid scores",IF(OR(S98="",NOT(OR(T98="Open",T98="Planned",T98="In Progress",T98="Closed",T98="Accepted"))),"Missing owner or invalid status",IF(NOT(ISNUMBER(U98)),"Missing or invalid target date",IF(U98&lt;=0,"Missing or invalid target date",IF(NOT(OR(Q98="Mitigate",Q98="Accept",Q98="Transfer",Q98="Avoid")),"Invalid treatment",IF(AND(T98="Accepted",Q98&lt;&gt;"Accept"),"Treatment/status conflict",IF(OR(M98&gt;G98,N98&gt;H98),"Review residual increase","OK")))))))))))</x:f>
      </x:c>
      <x:c r="AE98" s="138" t="str">
        <x:f>IF(A98="","",IF(OR(Y98="",NOT(OR(Z98="Scenario only",Z98="Evidence requested",Z98="Evidence reviewed")),AA98="",NOT(ISNUMBER(AB98)),AF98="",AG98=""),"Add assessment support",IF(OR(AB98&lt;=0,AB98&gt;Methodology!$B$25),"Review date outside period",IF(AND(OR(T98="Closed",T98="Accepted"),OR(AC98="",Z98&lt;&gt;"Evidence reviewed")),"Closure review needed",IF(OR(T98="Closed",T98="Accepted"),"Decision recorded",IF(Z98="Evidence reviewed","Evidence recorded","Scenario documented"))))))</x:f>
      </x:c>
      <x:c r="AF98" s="128"/>
      <x:c r="AG98" s="128"/>
    </x:row>
    <x:row r="99" ht="40" customHeight="1">
      <x:c r="A99" s="128"/>
      <x:c r="B99" s="128"/>
      <x:c r="C99" s="128"/>
      <x:c r="D99" s="128"/>
      <x:c r="E99" s="128"/>
      <x:c r="F99" s="128"/>
      <x:c r="G99" s="128"/>
      <x:c r="H99" s="128"/>
      <x:c r="I99" s="138" t="str">
        <x:f>IF(A99="","",IF(COUNT(G99,H99)&lt;&gt;2,"",IF(AND(G99&gt;=1,G99&lt;=5,H99&gt;=1,H99&lt;=5,MOD(G99,1)=0,MOD(H99,1)=0),G99*H99,"")))</x:f>
      </x:c>
      <x:c r="J99" s="138" t="str">
        <x:f>IF(A99="","",IF(ISNUMBER(I99),IF(I99&gt;=16,"Critical",IF(I99&gt;=10,"High",IF(I99&gt;=5,"Medium","Low"))),"Not assessed"))</x:f>
      </x:c>
      <x:c r="K99" s="128"/>
      <x:c r="L99" s="128"/>
      <x:c r="M99" s="128"/>
      <x:c r="N99" s="128"/>
      <x:c r="O99" s="138" t="str">
        <x:f>IF(A99="","",IF(COUNT(M99,N99)&lt;&gt;2,"",IF(AND(M99&gt;=1,M99&lt;=5,N99&gt;=1,N99&lt;=5,MOD(M99,1)=0,MOD(N99,1)=0),M99*N99,"")))</x:f>
      </x:c>
      <x:c r="P99" s="138" t="str">
        <x:f>IF(A99="","",IF(ISNUMBER(O99),IF(O99&gt;=16,"Critical",IF(O99&gt;=10,"High",IF(O99&gt;=5,"Medium","Low"))),"Not assessed"))</x:f>
      </x:c>
      <x:c r="Q99" s="128"/>
      <x:c r="R99" s="128"/>
      <x:c r="S99" s="128"/>
      <x:c r="T99" s="128"/>
      <x:c r="U99" s="130"/>
      <x:c r="V99" s="128"/>
      <x:c r="W99" s="128"/>
      <x:c r="X99" s="128"/>
      <x:c r="Y99" s="128"/>
      <x:c r="Z99" s="128"/>
      <x:c r="AA99" s="128"/>
      <x:c r="AB99" s="130"/>
      <x:c r="AC99" s="128"/>
      <x:c r="AD99" s="138" t="str">
        <x:f>IF(COUNTA(A99:H99,K99:N99,Q99:AC99,AF99:AG99)=0,"",IF(A99="","Missing ID",IF(COUNTIF($A$5:$A$104,A99)&gt;1,"Duplicate ID",IF(OR(B99="",C99="",D99="",E99="",F99="",K99="",L99="",R99=""),"Missing assessment context",IF(OR(NOT(ISNUMBER(I99)),NOT(ISNUMBER(O99))),"Incomplete or invalid scores",IF(OR(S99="",NOT(OR(T99="Open",T99="Planned",T99="In Progress",T99="Closed",T99="Accepted"))),"Missing owner or invalid status",IF(NOT(ISNUMBER(U99)),"Missing or invalid target date",IF(U99&lt;=0,"Missing or invalid target date",IF(NOT(OR(Q99="Mitigate",Q99="Accept",Q99="Transfer",Q99="Avoid")),"Invalid treatment",IF(AND(T99="Accepted",Q99&lt;&gt;"Accept"),"Treatment/status conflict",IF(OR(M99&gt;G99,N99&gt;H99),"Review residual increase","OK")))))))))))</x:f>
      </x:c>
      <x:c r="AE99" s="138" t="str">
        <x:f>IF(A99="","",IF(OR(Y99="",NOT(OR(Z99="Scenario only",Z99="Evidence requested",Z99="Evidence reviewed")),AA99="",NOT(ISNUMBER(AB99)),AF99="",AG99=""),"Add assessment support",IF(OR(AB99&lt;=0,AB99&gt;Methodology!$B$25),"Review date outside period",IF(AND(OR(T99="Closed",T99="Accepted"),OR(AC99="",Z99&lt;&gt;"Evidence reviewed")),"Closure review needed",IF(OR(T99="Closed",T99="Accepted"),"Decision recorded",IF(Z99="Evidence reviewed","Evidence recorded","Scenario documented"))))))</x:f>
      </x:c>
      <x:c r="AF99" s="128"/>
      <x:c r="AG99" s="128"/>
    </x:row>
    <x:row r="100" ht="40" customHeight="1">
      <x:c r="A100" s="128"/>
      <x:c r="B100" s="128"/>
      <x:c r="C100" s="128"/>
      <x:c r="D100" s="128"/>
      <x:c r="E100" s="128"/>
      <x:c r="F100" s="128"/>
      <x:c r="G100" s="128"/>
      <x:c r="H100" s="128"/>
      <x:c r="I100" s="138" t="str">
        <x:f>IF(A100="","",IF(COUNT(G100,H100)&lt;&gt;2,"",IF(AND(G100&gt;=1,G100&lt;=5,H100&gt;=1,H100&lt;=5,MOD(G100,1)=0,MOD(H100,1)=0),G100*H100,"")))</x:f>
      </x:c>
      <x:c r="J100" s="138" t="str">
        <x:f>IF(A100="","",IF(ISNUMBER(I100),IF(I100&gt;=16,"Critical",IF(I100&gt;=10,"High",IF(I100&gt;=5,"Medium","Low"))),"Not assessed"))</x:f>
      </x:c>
      <x:c r="K100" s="128"/>
      <x:c r="L100" s="128"/>
      <x:c r="M100" s="128"/>
      <x:c r="N100" s="128"/>
      <x:c r="O100" s="138" t="str">
        <x:f>IF(A100="","",IF(COUNT(M100,N100)&lt;&gt;2,"",IF(AND(M100&gt;=1,M100&lt;=5,N100&gt;=1,N100&lt;=5,MOD(M100,1)=0,MOD(N100,1)=0),M100*N100,"")))</x:f>
      </x:c>
      <x:c r="P100" s="138" t="str">
        <x:f>IF(A100="","",IF(ISNUMBER(O100),IF(O100&gt;=16,"Critical",IF(O100&gt;=10,"High",IF(O100&gt;=5,"Medium","Low"))),"Not assessed"))</x:f>
      </x:c>
      <x:c r="Q100" s="128"/>
      <x:c r="R100" s="128"/>
      <x:c r="S100" s="128"/>
      <x:c r="T100" s="128"/>
      <x:c r="U100" s="130"/>
      <x:c r="V100" s="128"/>
      <x:c r="W100" s="128"/>
      <x:c r="X100" s="128"/>
      <x:c r="Y100" s="128"/>
      <x:c r="Z100" s="128"/>
      <x:c r="AA100" s="128"/>
      <x:c r="AB100" s="130"/>
      <x:c r="AC100" s="128"/>
      <x:c r="AD100" s="138" t="str">
        <x:f>IF(COUNTA(A100:H100,K100:N100,Q100:AC100,AF100:AG100)=0,"",IF(A100="","Missing ID",IF(COUNTIF($A$5:$A$104,A100)&gt;1,"Duplicate ID",IF(OR(B100="",C100="",D100="",E100="",F100="",K100="",L100="",R100=""),"Missing assessment context",IF(OR(NOT(ISNUMBER(I100)),NOT(ISNUMBER(O100))),"Incomplete or invalid scores",IF(OR(S100="",NOT(OR(T100="Open",T100="Planned",T100="In Progress",T100="Closed",T100="Accepted"))),"Missing owner or invalid status",IF(NOT(ISNUMBER(U100)),"Missing or invalid target date",IF(U100&lt;=0,"Missing or invalid target date",IF(NOT(OR(Q100="Mitigate",Q100="Accept",Q100="Transfer",Q100="Avoid")),"Invalid treatment",IF(AND(T100="Accepted",Q100&lt;&gt;"Accept"),"Treatment/status conflict",IF(OR(M100&gt;G100,N100&gt;H100),"Review residual increase","OK")))))))))))</x:f>
      </x:c>
      <x:c r="AE100" s="138" t="str">
        <x:f>IF(A100="","",IF(OR(Y100="",NOT(OR(Z100="Scenario only",Z100="Evidence requested",Z100="Evidence reviewed")),AA100="",NOT(ISNUMBER(AB100)),AF100="",AG100=""),"Add assessment support",IF(OR(AB100&lt;=0,AB100&gt;Methodology!$B$25),"Review date outside period",IF(AND(OR(T100="Closed",T100="Accepted"),OR(AC100="",Z100&lt;&gt;"Evidence reviewed")),"Closure review needed",IF(OR(T100="Closed",T100="Accepted"),"Decision recorded",IF(Z100="Evidence reviewed","Evidence recorded","Scenario documented"))))))</x:f>
      </x:c>
      <x:c r="AF100" s="128"/>
      <x:c r="AG100" s="128"/>
    </x:row>
    <x:row r="101" ht="40" customHeight="1">
      <x:c r="A101" s="128"/>
      <x:c r="B101" s="128"/>
      <x:c r="C101" s="128"/>
      <x:c r="D101" s="128"/>
      <x:c r="E101" s="128"/>
      <x:c r="F101" s="128"/>
      <x:c r="G101" s="128"/>
      <x:c r="H101" s="128"/>
      <x:c r="I101" s="138" t="str">
        <x:f>IF(A101="","",IF(COUNT(G101,H101)&lt;&gt;2,"",IF(AND(G101&gt;=1,G101&lt;=5,H101&gt;=1,H101&lt;=5,MOD(G101,1)=0,MOD(H101,1)=0),G101*H101,"")))</x:f>
      </x:c>
      <x:c r="J101" s="138" t="str">
        <x:f>IF(A101="","",IF(ISNUMBER(I101),IF(I101&gt;=16,"Critical",IF(I101&gt;=10,"High",IF(I101&gt;=5,"Medium","Low"))),"Not assessed"))</x:f>
      </x:c>
      <x:c r="K101" s="128"/>
      <x:c r="L101" s="128"/>
      <x:c r="M101" s="128"/>
      <x:c r="N101" s="128"/>
      <x:c r="O101" s="138" t="str">
        <x:f>IF(A101="","",IF(COUNT(M101,N101)&lt;&gt;2,"",IF(AND(M101&gt;=1,M101&lt;=5,N101&gt;=1,N101&lt;=5,MOD(M101,1)=0,MOD(N101,1)=0),M101*N101,"")))</x:f>
      </x:c>
      <x:c r="P101" s="138" t="str">
        <x:f>IF(A101="","",IF(ISNUMBER(O101),IF(O101&gt;=16,"Critical",IF(O101&gt;=10,"High",IF(O101&gt;=5,"Medium","Low"))),"Not assessed"))</x:f>
      </x:c>
      <x:c r="Q101" s="128"/>
      <x:c r="R101" s="128"/>
      <x:c r="S101" s="128"/>
      <x:c r="T101" s="128"/>
      <x:c r="U101" s="130"/>
      <x:c r="V101" s="128"/>
      <x:c r="W101" s="128"/>
      <x:c r="X101" s="128"/>
      <x:c r="Y101" s="128"/>
      <x:c r="Z101" s="128"/>
      <x:c r="AA101" s="128"/>
      <x:c r="AB101" s="130"/>
      <x:c r="AC101" s="128"/>
      <x:c r="AD101" s="138" t="str">
        <x:f>IF(COUNTA(A101:H101,K101:N101,Q101:AC101,AF101:AG101)=0,"",IF(A101="","Missing ID",IF(COUNTIF($A$5:$A$104,A101)&gt;1,"Duplicate ID",IF(OR(B101="",C101="",D101="",E101="",F101="",K101="",L101="",R101=""),"Missing assessment context",IF(OR(NOT(ISNUMBER(I101)),NOT(ISNUMBER(O101))),"Incomplete or invalid scores",IF(OR(S101="",NOT(OR(T101="Open",T101="Planned",T101="In Progress",T101="Closed",T101="Accepted"))),"Missing owner or invalid status",IF(NOT(ISNUMBER(U101)),"Missing or invalid target date",IF(U101&lt;=0,"Missing or invalid target date",IF(NOT(OR(Q101="Mitigate",Q101="Accept",Q101="Transfer",Q101="Avoid")),"Invalid treatment",IF(AND(T101="Accepted",Q101&lt;&gt;"Accept"),"Treatment/status conflict",IF(OR(M101&gt;G101,N101&gt;H101),"Review residual increase","OK")))))))))))</x:f>
      </x:c>
      <x:c r="AE101" s="138" t="str">
        <x:f>IF(A101="","",IF(OR(Y101="",NOT(OR(Z101="Scenario only",Z101="Evidence requested",Z101="Evidence reviewed")),AA101="",NOT(ISNUMBER(AB101)),AF101="",AG101=""),"Add assessment support",IF(OR(AB101&lt;=0,AB101&gt;Methodology!$B$25),"Review date outside period",IF(AND(OR(T101="Closed",T101="Accepted"),OR(AC101="",Z101&lt;&gt;"Evidence reviewed")),"Closure review needed",IF(OR(T101="Closed",T101="Accepted"),"Decision recorded",IF(Z101="Evidence reviewed","Evidence recorded","Scenario documented"))))))</x:f>
      </x:c>
      <x:c r="AF101" s="128"/>
      <x:c r="AG101" s="128"/>
    </x:row>
    <x:row r="102" ht="40" customHeight="1">
      <x:c r="A102" s="128"/>
      <x:c r="B102" s="128"/>
      <x:c r="C102" s="128"/>
      <x:c r="D102" s="128"/>
      <x:c r="E102" s="128"/>
      <x:c r="F102" s="128"/>
      <x:c r="G102" s="128"/>
      <x:c r="H102" s="128"/>
      <x:c r="I102" s="138" t="str">
        <x:f>IF(A102="","",IF(COUNT(G102,H102)&lt;&gt;2,"",IF(AND(G102&gt;=1,G102&lt;=5,H102&gt;=1,H102&lt;=5,MOD(G102,1)=0,MOD(H102,1)=0),G102*H102,"")))</x:f>
      </x:c>
      <x:c r="J102" s="138" t="str">
        <x:f>IF(A102="","",IF(ISNUMBER(I102),IF(I102&gt;=16,"Critical",IF(I102&gt;=10,"High",IF(I102&gt;=5,"Medium","Low"))),"Not assessed"))</x:f>
      </x:c>
      <x:c r="K102" s="128"/>
      <x:c r="L102" s="128"/>
      <x:c r="M102" s="128"/>
      <x:c r="N102" s="128"/>
      <x:c r="O102" s="138" t="str">
        <x:f>IF(A102="","",IF(COUNT(M102,N102)&lt;&gt;2,"",IF(AND(M102&gt;=1,M102&lt;=5,N102&gt;=1,N102&lt;=5,MOD(M102,1)=0,MOD(N102,1)=0),M102*N102,"")))</x:f>
      </x:c>
      <x:c r="P102" s="138" t="str">
        <x:f>IF(A102="","",IF(ISNUMBER(O102),IF(O102&gt;=16,"Critical",IF(O102&gt;=10,"High",IF(O102&gt;=5,"Medium","Low"))),"Not assessed"))</x:f>
      </x:c>
      <x:c r="Q102" s="128"/>
      <x:c r="R102" s="128"/>
      <x:c r="S102" s="128"/>
      <x:c r="T102" s="128"/>
      <x:c r="U102" s="130"/>
      <x:c r="V102" s="128"/>
      <x:c r="W102" s="128"/>
      <x:c r="X102" s="128"/>
      <x:c r="Y102" s="128"/>
      <x:c r="Z102" s="128"/>
      <x:c r="AA102" s="128"/>
      <x:c r="AB102" s="130"/>
      <x:c r="AC102" s="128"/>
      <x:c r="AD102" s="138" t="str">
        <x:f>IF(COUNTA(A102:H102,K102:N102,Q102:AC102,AF102:AG102)=0,"",IF(A102="","Missing ID",IF(COUNTIF($A$5:$A$104,A102)&gt;1,"Duplicate ID",IF(OR(B102="",C102="",D102="",E102="",F102="",K102="",L102="",R102=""),"Missing assessment context",IF(OR(NOT(ISNUMBER(I102)),NOT(ISNUMBER(O102))),"Incomplete or invalid scores",IF(OR(S102="",NOT(OR(T102="Open",T102="Planned",T102="In Progress",T102="Closed",T102="Accepted"))),"Missing owner or invalid status",IF(NOT(ISNUMBER(U102)),"Missing or invalid target date",IF(U102&lt;=0,"Missing or invalid target date",IF(NOT(OR(Q102="Mitigate",Q102="Accept",Q102="Transfer",Q102="Avoid")),"Invalid treatment",IF(AND(T102="Accepted",Q102&lt;&gt;"Accept"),"Treatment/status conflict",IF(OR(M102&gt;G102,N102&gt;H102),"Review residual increase","OK")))))))))))</x:f>
      </x:c>
      <x:c r="AE102" s="138" t="str">
        <x:f>IF(A102="","",IF(OR(Y102="",NOT(OR(Z102="Scenario only",Z102="Evidence requested",Z102="Evidence reviewed")),AA102="",NOT(ISNUMBER(AB102)),AF102="",AG102=""),"Add assessment support",IF(OR(AB102&lt;=0,AB102&gt;Methodology!$B$25),"Review date outside period",IF(AND(OR(T102="Closed",T102="Accepted"),OR(AC102="",Z102&lt;&gt;"Evidence reviewed")),"Closure review needed",IF(OR(T102="Closed",T102="Accepted"),"Decision recorded",IF(Z102="Evidence reviewed","Evidence recorded","Scenario documented"))))))</x:f>
      </x:c>
      <x:c r="AF102" s="128"/>
      <x:c r="AG102" s="128"/>
    </x:row>
    <x:row r="103" ht="40" customHeight="1">
      <x:c r="A103" s="128"/>
      <x:c r="B103" s="128"/>
      <x:c r="C103" s="128"/>
      <x:c r="D103" s="128"/>
      <x:c r="E103" s="128"/>
      <x:c r="F103" s="128"/>
      <x:c r="G103" s="128"/>
      <x:c r="H103" s="128"/>
      <x:c r="I103" s="138" t="str">
        <x:f>IF(A103="","",IF(COUNT(G103,H103)&lt;&gt;2,"",IF(AND(G103&gt;=1,G103&lt;=5,H103&gt;=1,H103&lt;=5,MOD(G103,1)=0,MOD(H103,1)=0),G103*H103,"")))</x:f>
      </x:c>
      <x:c r="J103" s="138" t="str">
        <x:f>IF(A103="","",IF(ISNUMBER(I103),IF(I103&gt;=16,"Critical",IF(I103&gt;=10,"High",IF(I103&gt;=5,"Medium","Low"))),"Not assessed"))</x:f>
      </x:c>
      <x:c r="K103" s="128"/>
      <x:c r="L103" s="128"/>
      <x:c r="M103" s="128"/>
      <x:c r="N103" s="128"/>
      <x:c r="O103" s="138" t="str">
        <x:f>IF(A103="","",IF(COUNT(M103,N103)&lt;&gt;2,"",IF(AND(M103&gt;=1,M103&lt;=5,N103&gt;=1,N103&lt;=5,MOD(M103,1)=0,MOD(N103,1)=0),M103*N103,"")))</x:f>
      </x:c>
      <x:c r="P103" s="138" t="str">
        <x:f>IF(A103="","",IF(ISNUMBER(O103),IF(O103&gt;=16,"Critical",IF(O103&gt;=10,"High",IF(O103&gt;=5,"Medium","Low"))),"Not assessed"))</x:f>
      </x:c>
      <x:c r="Q103" s="128"/>
      <x:c r="R103" s="128"/>
      <x:c r="S103" s="128"/>
      <x:c r="T103" s="128"/>
      <x:c r="U103" s="130"/>
      <x:c r="V103" s="128"/>
      <x:c r="W103" s="128"/>
      <x:c r="X103" s="128"/>
      <x:c r="Y103" s="128"/>
      <x:c r="Z103" s="128"/>
      <x:c r="AA103" s="128"/>
      <x:c r="AB103" s="130"/>
      <x:c r="AC103" s="128"/>
      <x:c r="AD103" s="138" t="str">
        <x:f>IF(COUNTA(A103:H103,K103:N103,Q103:AC103,AF103:AG103)=0,"",IF(A103="","Missing ID",IF(COUNTIF($A$5:$A$104,A103)&gt;1,"Duplicate ID",IF(OR(B103="",C103="",D103="",E103="",F103="",K103="",L103="",R103=""),"Missing assessment context",IF(OR(NOT(ISNUMBER(I103)),NOT(ISNUMBER(O103))),"Incomplete or invalid scores",IF(OR(S103="",NOT(OR(T103="Open",T103="Planned",T103="In Progress",T103="Closed",T103="Accepted"))),"Missing owner or invalid status",IF(NOT(ISNUMBER(U103)),"Missing or invalid target date",IF(U103&lt;=0,"Missing or invalid target date",IF(NOT(OR(Q103="Mitigate",Q103="Accept",Q103="Transfer",Q103="Avoid")),"Invalid treatment",IF(AND(T103="Accepted",Q103&lt;&gt;"Accept"),"Treatment/status conflict",IF(OR(M103&gt;G103,N103&gt;H103),"Review residual increase","OK")))))))))))</x:f>
      </x:c>
      <x:c r="AE103" s="138" t="str">
        <x:f>IF(A103="","",IF(OR(Y103="",NOT(OR(Z103="Scenario only",Z103="Evidence requested",Z103="Evidence reviewed")),AA103="",NOT(ISNUMBER(AB103)),AF103="",AG103=""),"Add assessment support",IF(OR(AB103&lt;=0,AB103&gt;Methodology!$B$25),"Review date outside period",IF(AND(OR(T103="Closed",T103="Accepted"),OR(AC103="",Z103&lt;&gt;"Evidence reviewed")),"Closure review needed",IF(OR(T103="Closed",T103="Accepted"),"Decision recorded",IF(Z103="Evidence reviewed","Evidence recorded","Scenario documented"))))))</x:f>
      </x:c>
      <x:c r="AF103" s="128"/>
      <x:c r="AG103" s="128"/>
    </x:row>
    <x:row r="104" ht="40" customHeight="1">
      <x:c r="A104" s="128"/>
      <x:c r="B104" s="128"/>
      <x:c r="C104" s="128"/>
      <x:c r="D104" s="128"/>
      <x:c r="E104" s="128"/>
      <x:c r="F104" s="128"/>
      <x:c r="G104" s="128"/>
      <x:c r="H104" s="128"/>
      <x:c r="I104" s="138" t="str">
        <x:f>IF(A104="","",IF(COUNT(G104,H104)&lt;&gt;2,"",IF(AND(G104&gt;=1,G104&lt;=5,H104&gt;=1,H104&lt;=5,MOD(G104,1)=0,MOD(H104,1)=0),G104*H104,"")))</x:f>
      </x:c>
      <x:c r="J104" s="138" t="str">
        <x:f>IF(A104="","",IF(ISNUMBER(I104),IF(I104&gt;=16,"Critical",IF(I104&gt;=10,"High",IF(I104&gt;=5,"Medium","Low"))),"Not assessed"))</x:f>
      </x:c>
      <x:c r="K104" s="128"/>
      <x:c r="L104" s="128"/>
      <x:c r="M104" s="128"/>
      <x:c r="N104" s="128"/>
      <x:c r="O104" s="138" t="str">
        <x:f>IF(A104="","",IF(COUNT(M104,N104)&lt;&gt;2,"",IF(AND(M104&gt;=1,M104&lt;=5,N104&gt;=1,N104&lt;=5,MOD(M104,1)=0,MOD(N104,1)=0),M104*N104,"")))</x:f>
      </x:c>
      <x:c r="P104" s="138" t="str">
        <x:f>IF(A104="","",IF(ISNUMBER(O104),IF(O104&gt;=16,"Critical",IF(O104&gt;=10,"High",IF(O104&gt;=5,"Medium","Low"))),"Not assessed"))</x:f>
      </x:c>
      <x:c r="Q104" s="128"/>
      <x:c r="R104" s="128"/>
      <x:c r="S104" s="128"/>
      <x:c r="T104" s="128"/>
      <x:c r="U104" s="130"/>
      <x:c r="V104" s="128"/>
      <x:c r="W104" s="128"/>
      <x:c r="X104" s="128"/>
      <x:c r="Y104" s="128"/>
      <x:c r="Z104" s="128"/>
      <x:c r="AA104" s="128"/>
      <x:c r="AB104" s="130"/>
      <x:c r="AC104" s="128"/>
      <x:c r="AD104" s="138" t="str">
        <x:f>IF(COUNTA(A104:H104,K104:N104,Q104:AC104,AF104:AG104)=0,"",IF(A104="","Missing ID",IF(COUNTIF($A$5:$A$104,A104)&gt;1,"Duplicate ID",IF(OR(B104="",C104="",D104="",E104="",F104="",K104="",L104="",R104=""),"Missing assessment context",IF(OR(NOT(ISNUMBER(I104)),NOT(ISNUMBER(O104))),"Incomplete or invalid scores",IF(OR(S104="",NOT(OR(T104="Open",T104="Planned",T104="In Progress",T104="Closed",T104="Accepted"))),"Missing owner or invalid status",IF(NOT(ISNUMBER(U104)),"Missing or invalid target date",IF(U104&lt;=0,"Missing or invalid target date",IF(NOT(OR(Q104="Mitigate",Q104="Accept",Q104="Transfer",Q104="Avoid")),"Invalid treatment",IF(AND(T104="Accepted",Q104&lt;&gt;"Accept"),"Treatment/status conflict",IF(OR(M104&gt;G104,N104&gt;H104),"Review residual increase","OK")))))))))))</x:f>
      </x:c>
      <x:c r="AE104" s="138" t="str">
        <x:f>IF(A104="","",IF(OR(Y104="",NOT(OR(Z104="Scenario only",Z104="Evidence requested",Z104="Evidence reviewed")),AA104="",NOT(ISNUMBER(AB104)),AF104="",AG104=""),"Add assessment support",IF(OR(AB104&lt;=0,AB104&gt;Methodology!$B$25),"Review date outside period",IF(AND(OR(T104="Closed",T104="Accepted"),OR(AC104="",Z104&lt;&gt;"Evidence reviewed")),"Closure review needed",IF(OR(T104="Closed",T104="Accepted"),"Decision recorded",IF(Z104="Evidence reviewed","Evidence recorded","Scenario documented"))))))</x:f>
      </x:c>
      <x:c r="AF104" s="128"/>
      <x:c r="AG104" s="128"/>
    </x:row>
  </x:sheetData>
  <x:mergeCells>
    <x:mergeCell ref="A1:H1"/>
    <x:mergeCell ref="A2:H2"/>
  </x:mergeCells>
  <x:conditionalFormatting sqref="J5:J104">
    <x:cfRule type="expression" dxfId="0" priority="1">
      <x:formula>$J5="Critical"</x:formula>
    </x:cfRule>
    <x:cfRule type="expression" dxfId="1" priority="2">
      <x:formula>$J5="High"</x:formula>
    </x:cfRule>
    <x:cfRule type="expression" dxfId="2" priority="3">
      <x:formula>$J5="Medium"</x:formula>
    </x:cfRule>
    <x:cfRule type="expression" dxfId="3" priority="4">
      <x:formula>$J5="Low"</x:formula>
    </x:cfRule>
  </x:conditionalFormatting>
  <x:conditionalFormatting sqref="P5:P104">
    <x:cfRule type="expression" dxfId="4" priority="5">
      <x:formula>$P5="Critical"</x:formula>
    </x:cfRule>
    <x:cfRule type="expression" dxfId="5" priority="6">
      <x:formula>$P5="High"</x:formula>
    </x:cfRule>
    <x:cfRule type="expression" dxfId="6" priority="7">
      <x:formula>$P5="Medium"</x:formula>
    </x:cfRule>
    <x:cfRule type="expression" dxfId="7" priority="8">
      <x:formula>$P5="Low"</x:formula>
    </x:cfRule>
  </x:conditionalFormatting>
  <x:conditionalFormatting sqref="AD5:AD104">
    <x:cfRule type="expression" dxfId="13" priority="11">
      <x:formula>AND($A5&lt;&gt;"",AD5&lt;&gt;"OK",AD5&lt;&gt;"Scenario documented",AD5&lt;&gt;"Evidence recorded",AD5&lt;&gt;"Decision recorded")</x:formula>
    </x:cfRule>
  </x:conditionalFormatting>
  <x:conditionalFormatting sqref="AE5:AE104">
    <x:cfRule type="expression" dxfId="14" priority="12">
      <x:formula>AND($A5&lt;&gt;"",AE5&lt;&gt;"OK",AE5&lt;&gt;"Scenario documented",AE5&lt;&gt;"Evidence recorded",AE5&lt;&gt;"Decision recorded")</x:formula>
    </x:cfRule>
  </x:conditionalFormatting>
  <x:dataValidations count="10">
    <x:dataValidation type="list" sqref="B5:B104">
      <x:formula1>Lists!$A$2:$A$13</x:formula1>
    </x:dataValidation>
    <x:dataValidation type="list" sqref="G5:G104">
      <x:formula1>"1,2,3,4,5"</x:formula1>
    </x:dataValidation>
    <x:dataValidation type="list" sqref="H5:H104">
      <x:formula1>"1,2,3,4,5"</x:formula1>
    </x:dataValidation>
    <x:dataValidation type="list" sqref="L5:L104">
      <x:formula1>Lists!$B$2:$B$5</x:formula1>
    </x:dataValidation>
    <x:dataValidation type="list" sqref="M5:M104">
      <x:formula1>"1,2,3,4,5"</x:formula1>
    </x:dataValidation>
    <x:dataValidation type="list" sqref="N5:N104">
      <x:formula1>"1,2,3,4,5"</x:formula1>
    </x:dataValidation>
    <x:dataValidation type="list" sqref="Q5:Q104">
      <x:formula1>"Mitigate,Accept,Transfer,Avoid"</x:formula1>
    </x:dataValidation>
    <x:dataValidation type="list" sqref="S5:S104">
      <x:formula1>Lists!$D$2:$D$10</x:formula1>
    </x:dataValidation>
    <x:dataValidation type="list" sqref="T5:T104">
      <x:formula1>Lists!$E$2:$E$6</x:formula1>
    </x:dataValidation>
    <x:dataValidation type="list" sqref="Z5:Z104">
      <x:formula1>Lists!$H$2:$H$4</x:formula1>
    </x:dataValidation>
  </x:dataValidations>
  <x:pageMargins left="0.7" right="0.7" top="0.75" bottom="0.75" header="0.3" footer="0.3"/>
  <x:tableParts count="1">
    <x:tablePart xmlns:r="http://schemas.openxmlformats.org/officeDocument/2006/relationships" r:id="R4b30dbe2ee7c4645"/>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6" hidden="0" customWidth="1"/>
    <x:col min="2" max="2" width="35" hidden="0" customWidth="1"/>
    <x:col min="3" max="3" width="3" hidden="0" customWidth="1"/>
    <x:col min="4" max="4" width="24" hidden="0" customWidth="1"/>
    <x:col min="5" max="5" width="12" hidden="0" customWidth="1"/>
    <x:col min="6" max="6" width="12" hidden="0" customWidth="1"/>
    <x:col min="7" max="7" width="12" hidden="0" customWidth="1"/>
    <x:col min="8" max="8" width="12" hidden="0" customWidth="1"/>
    <x:col min="9" max="9" width="12" hidden="0" customWidth="1"/>
  </x:cols>
  <x:sheetData>
    <x:row r="1" ht="25" customHeight="1">
      <x:c r="A1" s="133" t="str">
        <x:v>Risk Summary and Heat Maps</x:v>
      </x:c>
      <x:c r="B1" s="133"/>
      <x:c r="C1" s="133"/>
      <x:c r="D1" s="133"/>
      <x:c r="E1" s="133"/>
      <x:c r="F1" s="133"/>
      <x:c r="G1" s="133"/>
      <x:c r="H1" s="133"/>
      <x:c r="I1" s="133"/>
    </x:row>
    <x:row r="2" ht="25" customHeight="1">
      <x:c r="A2" s="114" t="str">
        <x:v>Reporting date</x:v>
      </x:c>
      <x:c r="B2" s="167" t="n">
        <x:f>Methodology!$B$25</x:f>
        <x:v>46298</x:v>
      </x:c>
      <x:c r="C2" s="114"/>
      <x:c r="D2" s="114"/>
      <x:c r="E2" s="114"/>
      <x:c r="F2" s="114"/>
      <x:c r="G2" s="114"/>
      <x:c r="H2" s="114"/>
      <x:c r="I2" s="114"/>
    </x:row>
    <x:row r="3" ht="25" customHeight="1">
      <x:c r="A3" s="143" t="str">
        <x:v>Residual Rating</x:v>
      </x:c>
      <x:c r="B3" s="143" t="str">
        <x:v>Count</x:v>
      </x:c>
      <x:c r="C3" s="114"/>
      <x:c r="D3" s="168" t="str">
        <x:v>Residual Risk Heat Map — cell value = number of risks</x:v>
      </x:c>
      <x:c r="E3" s="123"/>
      <x:c r="F3" s="123"/>
      <x:c r="G3" s="123"/>
      <x:c r="H3" s="123"/>
      <x:c r="I3" s="123"/>
    </x:row>
    <x:row r="4" ht="25" customHeight="1">
      <x:c r="A4" s="169" t="str">
        <x:v>Critical</x:v>
      </x:c>
      <x:c r="B4" s="170" t="n">
        <x:f>COUNTIF('Risk Register'!$P$5:$P$104,"Critical")</x:f>
        <x:v>4</x:v>
      </x:c>
      <x:c r="C4" s="114"/>
      <x:c r="D4" s="171" t="str">
        <x:v>Likelihood \ Impact</x:v>
      </x:c>
      <x:c r="E4" s="171" t="n">
        <x:v>1</x:v>
      </x:c>
      <x:c r="F4" s="171" t="n">
        <x:v>2</x:v>
      </x:c>
      <x:c r="G4" s="171" t="n">
        <x:v>3</x:v>
      </x:c>
      <x:c r="H4" s="171" t="n">
        <x:v>4</x:v>
      </x:c>
      <x:c r="I4" s="171" t="n">
        <x:v>5</x:v>
      </x:c>
    </x:row>
    <x:row r="5" ht="25" customHeight="1">
      <x:c r="A5" s="172" t="str">
        <x:v>High</x:v>
      </x:c>
      <x:c r="B5" s="173" t="n">
        <x:f>COUNTIF('Risk Register'!$P$5:$P$104,"High")</x:f>
        <x:v>23</x:v>
      </x:c>
      <x:c r="C5" s="114"/>
      <x:c r="D5" s="174" t="n">
        <x:v>5</x:v>
      </x:c>
      <x:c r="E5" s="175" t="n">
        <x:f>COUNTIFS('Risk Register'!$A$5:$A$104,"&lt;&gt;",'Risk Register'!$M$5:$M$104,$D5,'Risk Register'!$N$5:$N$104,E$4)</x:f>
        <x:v>0</x:v>
      </x:c>
      <x:c r="F5" s="176" t="n">
        <x:f>COUNTIFS('Risk Register'!$A$5:$A$104,"&lt;&gt;",'Risk Register'!$M$5:$M$104,$D5,'Risk Register'!$N$5:$N$104,F$4)</x:f>
        <x:v>0</x:v>
      </x:c>
      <x:c r="G5" s="176" t="n">
        <x:f>COUNTIFS('Risk Register'!$A$5:$A$104,"&lt;&gt;",'Risk Register'!$M$5:$M$104,$D5,'Risk Register'!$N$5:$N$104,G$4)</x:f>
        <x:v>0</x:v>
      </x:c>
      <x:c r="H5" s="177" t="n">
        <x:f>COUNTIFS('Risk Register'!$A$5:$A$104,"&lt;&gt;",'Risk Register'!$M$5:$M$104,$D5,'Risk Register'!$N$5:$N$104,H$4)</x:f>
        <x:v>0</x:v>
      </x:c>
      <x:c r="I5" s="177" t="n">
        <x:f>COUNTIFS('Risk Register'!$A$5:$A$104,"&lt;&gt;",'Risk Register'!$M$5:$M$104,$D5,'Risk Register'!$N$5:$N$104,I$4)</x:f>
        <x:v>0</x:v>
      </x:c>
    </x:row>
    <x:row r="6" ht="25" customHeight="1">
      <x:c r="A6" s="178" t="str">
        <x:v>Medium</x:v>
      </x:c>
      <x:c r="B6" s="179" t="n">
        <x:f>COUNTIF('Risk Register'!$P$5:$P$104,"Medium")</x:f>
        <x:v>2</x:v>
      </x:c>
      <x:c r="C6" s="114"/>
      <x:c r="D6" s="174" t="n">
        <x:v>4</x:v>
      </x:c>
      <x:c r="E6" s="180" t="n">
        <x:f>COUNTIFS('Risk Register'!$A$5:$A$104,"&lt;&gt;",'Risk Register'!$M$5:$M$104,$D6,'Risk Register'!$N$5:$N$104,E$4)</x:f>
        <x:v>0</x:v>
      </x:c>
      <x:c r="F6" s="175" t="n">
        <x:f>COUNTIFS('Risk Register'!$A$5:$A$104,"&lt;&gt;",'Risk Register'!$M$5:$M$104,$D6,'Risk Register'!$N$5:$N$104,F$4)</x:f>
        <x:v>0</x:v>
      </x:c>
      <x:c r="G6" s="176" t="n">
        <x:f>COUNTIFS('Risk Register'!$A$5:$A$104,"&lt;&gt;",'Risk Register'!$M$5:$M$104,$D6,'Risk Register'!$N$5:$N$104,G$4)</x:f>
        <x:v>0</x:v>
      </x:c>
      <x:c r="H6" s="177" t="n">
        <x:f>COUNTIFS('Risk Register'!$A$5:$A$104,"&lt;&gt;",'Risk Register'!$M$5:$M$104,$D6,'Risk Register'!$N$5:$N$104,H$4)</x:f>
        <x:v>0</x:v>
      </x:c>
      <x:c r="I6" s="177" t="n">
        <x:f>COUNTIFS('Risk Register'!$A$5:$A$104,"&lt;&gt;",'Risk Register'!$M$5:$M$104,$D6,'Risk Register'!$N$5:$N$104,I$4)</x:f>
        <x:v>4</x:v>
      </x:c>
    </x:row>
    <x:row r="7" ht="25" customHeight="1">
      <x:c r="A7" s="181" t="str">
        <x:v>Low</x:v>
      </x:c>
      <x:c r="B7" s="182" t="n">
        <x:f>COUNTIF('Risk Register'!$P$5:$P$104,"Low")</x:f>
        <x:v>1</x:v>
      </x:c>
      <x:c r="C7" s="114"/>
      <x:c r="D7" s="174" t="n">
        <x:v>3</x:v>
      </x:c>
      <x:c r="E7" s="180" t="n">
        <x:f>COUNTIFS('Risk Register'!$A$5:$A$104,"&lt;&gt;",'Risk Register'!$M$5:$M$104,$D7,'Risk Register'!$N$5:$N$104,E$4)</x:f>
        <x:v>0</x:v>
      </x:c>
      <x:c r="F7" s="175" t="n">
        <x:f>COUNTIFS('Risk Register'!$A$5:$A$104,"&lt;&gt;",'Risk Register'!$M$5:$M$104,$D7,'Risk Register'!$N$5:$N$104,F$4)</x:f>
        <x:v>0</x:v>
      </x:c>
      <x:c r="G7" s="175" t="n">
        <x:f>COUNTIFS('Risk Register'!$A$5:$A$104,"&lt;&gt;",'Risk Register'!$M$5:$M$104,$D7,'Risk Register'!$N$5:$N$104,G$4)</x:f>
        <x:v>0</x:v>
      </x:c>
      <x:c r="H7" s="176" t="n">
        <x:f>COUNTIFS('Risk Register'!$A$5:$A$104,"&lt;&gt;",'Risk Register'!$M$5:$M$104,$D7,'Risk Register'!$N$5:$N$104,H$4)</x:f>
        <x:v>11</x:v>
      </x:c>
      <x:c r="I7" s="176" t="n">
        <x:f>COUNTIFS('Risk Register'!$A$5:$A$104,"&lt;&gt;",'Risk Register'!$M$5:$M$104,$D7,'Risk Register'!$N$5:$N$104,I$4)</x:f>
        <x:v>9</x:v>
      </x:c>
    </x:row>
    <x:row r="8" ht="25" customHeight="1">
      <x:c r="A8" s="114" t="str">
        <x:v>Open / Planned / In Progress</x:v>
      </x:c>
      <x:c r="B8" s="183" t="n">
        <x:f>COUNTIF('Risk Register'!$T$5:$T$104,"Open")+COUNTIF('Risk Register'!$T$5:$T$104,"Planned")+COUNTIF('Risk Register'!$T$5:$T$104,"In Progress")</x:f>
        <x:v>30</x:v>
      </x:c>
      <x:c r="C8" s="114"/>
      <x:c r="D8" s="174" t="n">
        <x:v>2</x:v>
      </x:c>
      <x:c r="E8" s="180" t="n">
        <x:f>COUNTIFS('Risk Register'!$A$5:$A$104,"&lt;&gt;",'Risk Register'!$M$5:$M$104,$D8,'Risk Register'!$N$5:$N$104,E$4)</x:f>
        <x:v>0</x:v>
      </x:c>
      <x:c r="F8" s="180" t="n">
        <x:f>COUNTIFS('Risk Register'!$A$5:$A$104,"&lt;&gt;",'Risk Register'!$M$5:$M$104,$D8,'Risk Register'!$N$5:$N$104,F$4)</x:f>
        <x:v>0</x:v>
      </x:c>
      <x:c r="G8" s="175" t="n">
        <x:f>COUNTIFS('Risk Register'!$A$5:$A$104,"&lt;&gt;",'Risk Register'!$M$5:$M$104,$D8,'Risk Register'!$N$5:$N$104,G$4)</x:f>
        <x:v>0</x:v>
      </x:c>
      <x:c r="H8" s="175" t="n">
        <x:f>COUNTIFS('Risk Register'!$A$5:$A$104,"&lt;&gt;",'Risk Register'!$M$5:$M$104,$D8,'Risk Register'!$N$5:$N$104,H$4)</x:f>
        <x:v>2</x:v>
      </x:c>
      <x:c r="I8" s="176" t="n">
        <x:f>COUNTIFS('Risk Register'!$A$5:$A$104,"&lt;&gt;",'Risk Register'!$M$5:$M$104,$D8,'Risk Register'!$N$5:$N$104,I$4)</x:f>
        <x:v>3</x:v>
      </x:c>
    </x:row>
    <x:row r="9" ht="25" customHeight="1">
      <x:c r="A9" s="114" t="str">
        <x:v>Past Due</x:v>
      </x:c>
      <x:c r="B9" s="183" t="n">
        <x:f>COUNTIFS('Risk Register'!$A$5:$A$104,"&lt;&gt;",'Risk Register'!$U$5:$U$104,"&gt;0",'Risk Register'!$U$5:$U$104,"&lt;"&amp;Methodology!$B$25,'Risk Register'!$T$5:$T$104,"&lt;&gt;Closed",'Risk Register'!$T$5:$T$104,"&lt;&gt;Accepted")</x:f>
        <x:v>3</x:v>
      </x:c>
      <x:c r="C9" s="114"/>
      <x:c r="D9" s="174" t="n">
        <x:v>1</x:v>
      </x:c>
      <x:c r="E9" s="180" t="n">
        <x:f>COUNTIFS('Risk Register'!$A$5:$A$104,"&lt;&gt;",'Risk Register'!$M$5:$M$104,$D9,'Risk Register'!$N$5:$N$104,E$4)</x:f>
        <x:v>0</x:v>
      </x:c>
      <x:c r="F9" s="180" t="n">
        <x:f>COUNTIFS('Risk Register'!$A$5:$A$104,"&lt;&gt;",'Risk Register'!$M$5:$M$104,$D9,'Risk Register'!$N$5:$N$104,F$4)</x:f>
        <x:v>0</x:v>
      </x:c>
      <x:c r="G9" s="180" t="n">
        <x:f>COUNTIFS('Risk Register'!$A$5:$A$104,"&lt;&gt;",'Risk Register'!$M$5:$M$104,$D9,'Risk Register'!$N$5:$N$104,G$4)</x:f>
        <x:v>1</x:v>
      </x:c>
      <x:c r="H9" s="180" t="n">
        <x:f>COUNTIFS('Risk Register'!$A$5:$A$104,"&lt;&gt;",'Risk Register'!$M$5:$M$104,$D9,'Risk Register'!$N$5:$N$104,H$4)</x:f>
        <x:v>0</x:v>
      </x:c>
      <x:c r="I9" s="175" t="n">
        <x:f>COUNTIFS('Risk Register'!$A$5:$A$104,"&lt;&gt;",'Risk Register'!$M$5:$M$104,$D9,'Risk Register'!$N$5:$N$104,I$4)</x:f>
        <x:v>0</x:v>
      </x:c>
    </x:row>
    <x:row r="10" ht="25" customHeight="1">
      <x:c r="A10" s="114"/>
      <x:c r="B10" s="114"/>
      <x:c r="C10" s="114"/>
      <x:c r="D10" s="114"/>
      <x:c r="E10" s="114"/>
      <x:c r="F10" s="114"/>
      <x:c r="G10" s="114"/>
      <x:c r="H10" s="114"/>
      <x:c r="I10" s="114"/>
    </x:row>
    <x:row r="11" ht="25" customHeight="1">
      <x:c r="A11" s="114"/>
      <x:c r="B11" s="114"/>
      <x:c r="C11" s="114"/>
      <x:c r="D11" s="114"/>
      <x:c r="E11" s="114"/>
      <x:c r="F11" s="114"/>
      <x:c r="G11" s="114"/>
      <x:c r="H11" s="114"/>
      <x:c r="I11" s="114"/>
    </x:row>
    <x:row r="12" ht="36" customHeight="1">
      <x:c r="A12" s="184" t="str">
        <x:v>Heat-map key</x:v>
      </x:c>
      <x:c r="B12" s="123"/>
      <x:c r="C12" s="114"/>
      <x:c r="D12" s="168" t="str">
        <x:v>Inherent Risk Heat Map — cell value = number of risks</x:v>
      </x:c>
      <x:c r="E12" s="123"/>
      <x:c r="F12" s="123"/>
      <x:c r="G12" s="123"/>
      <x:c r="H12" s="123"/>
      <x:c r="I12" s="123"/>
    </x:row>
    <x:row r="13" ht="36" customHeight="1">
      <x:c r="A13" s="184" t="str">
        <x:v>Rows</x:v>
      </x:c>
      <x:c r="B13" s="123" t="str">
        <x:v>Likelihood: 5 is highest</x:v>
      </x:c>
      <x:c r="C13" s="114"/>
      <x:c r="D13" s="171" t="str">
        <x:v>Likelihood \ Impact</x:v>
      </x:c>
      <x:c r="E13" s="171" t="n">
        <x:v>1</x:v>
      </x:c>
      <x:c r="F13" s="171" t="n">
        <x:v>2</x:v>
      </x:c>
      <x:c r="G13" s="171" t="n">
        <x:v>3</x:v>
      </x:c>
      <x:c r="H13" s="171" t="n">
        <x:v>4</x:v>
      </x:c>
      <x:c r="I13" s="171" t="n">
        <x:v>5</x:v>
      </x:c>
    </x:row>
    <x:row r="14" ht="36" customHeight="1">
      <x:c r="A14" s="184" t="str">
        <x:v>Columns</x:v>
      </x:c>
      <x:c r="B14" s="123" t="str">
        <x:v>Impact: 5 is highest</x:v>
      </x:c>
      <x:c r="C14" s="114"/>
      <x:c r="D14" s="174" t="n">
        <x:v>5</x:v>
      </x:c>
      <x:c r="E14" s="175" t="n">
        <x:f>COUNTIFS('Risk Register'!$A$5:$A$104,"&lt;&gt;",'Risk Register'!$G$5:$G$104,$D14,'Risk Register'!$H$5:$H$104,E$13)</x:f>
        <x:v>0</x:v>
      </x:c>
      <x:c r="F14" s="176" t="n">
        <x:f>COUNTIFS('Risk Register'!$A$5:$A$104,"&lt;&gt;",'Risk Register'!$G$5:$G$104,$D14,'Risk Register'!$H$5:$H$104,F$13)</x:f>
        <x:v>0</x:v>
      </x:c>
      <x:c r="G14" s="176" t="n">
        <x:f>COUNTIFS('Risk Register'!$A$5:$A$104,"&lt;&gt;",'Risk Register'!$G$5:$G$104,$D14,'Risk Register'!$H$5:$H$104,G$13)</x:f>
        <x:v>0</x:v>
      </x:c>
      <x:c r="H14" s="177" t="n">
        <x:f>COUNTIFS('Risk Register'!$A$5:$A$104,"&lt;&gt;",'Risk Register'!$G$5:$G$104,$D14,'Risk Register'!$H$5:$H$104,H$13)</x:f>
        <x:v>0</x:v>
      </x:c>
      <x:c r="I14" s="177" t="n">
        <x:f>COUNTIFS('Risk Register'!$A$5:$A$104,"&lt;&gt;",'Risk Register'!$G$5:$G$104,$D14,'Risk Register'!$H$5:$H$104,I$13)</x:f>
        <x:v>0</x:v>
      </x:c>
    </x:row>
    <x:row r="15" ht="36" customHeight="1">
      <x:c r="A15" s="184" t="str">
        <x:v>Numbers</x:v>
      </x:c>
      <x:c r="B15" s="123" t="str">
        <x:v>Count of records at each pair</x:v>
      </x:c>
      <x:c r="C15" s="114"/>
      <x:c r="D15" s="174" t="n">
        <x:v>4</x:v>
      </x:c>
      <x:c r="E15" s="180" t="n">
        <x:f>COUNTIFS('Risk Register'!$A$5:$A$104,"&lt;&gt;",'Risk Register'!$G$5:$G$104,$D15,'Risk Register'!$H$5:$H$104,E$13)</x:f>
        <x:v>0</x:v>
      </x:c>
      <x:c r="F15" s="175" t="n">
        <x:f>COUNTIFS('Risk Register'!$A$5:$A$104,"&lt;&gt;",'Risk Register'!$G$5:$G$104,$D15,'Risk Register'!$H$5:$H$104,F$13)</x:f>
        <x:v>0</x:v>
      </x:c>
      <x:c r="G15" s="176" t="n">
        <x:f>COUNTIFS('Risk Register'!$A$5:$A$104,"&lt;&gt;",'Risk Register'!$G$5:$G$104,$D15,'Risk Register'!$H$5:$H$104,G$13)</x:f>
        <x:v>0</x:v>
      </x:c>
      <x:c r="H15" s="177" t="n">
        <x:f>COUNTIFS('Risk Register'!$A$5:$A$104,"&lt;&gt;",'Risk Register'!$G$5:$G$104,$D15,'Risk Register'!$H$5:$H$104,H$13)</x:f>
        <x:v>4</x:v>
      </x:c>
      <x:c r="I15" s="177" t="n">
        <x:f>COUNTIFS('Risk Register'!$A$5:$A$104,"&lt;&gt;",'Risk Register'!$G$5:$G$104,$D15,'Risk Register'!$H$5:$H$104,I$13)</x:f>
        <x:v>9</x:v>
      </x:c>
    </x:row>
    <x:row r="16" ht="36" customHeight="1">
      <x:c r="A16" s="184" t="str">
        <x:v>Colors</x:v>
      </x:c>
      <x:c r="B16" s="123" t="str">
        <x:v>Severity of likelihood x impact</x:v>
      </x:c>
      <x:c r="C16" s="114"/>
      <x:c r="D16" s="174" t="n">
        <x:v>3</x:v>
      </x:c>
      <x:c r="E16" s="180" t="n">
        <x:f>COUNTIFS('Risk Register'!$A$5:$A$104,"&lt;&gt;",'Risk Register'!$G$5:$G$104,$D16,'Risk Register'!$H$5:$H$104,E$13)</x:f>
        <x:v>0</x:v>
      </x:c>
      <x:c r="F16" s="175" t="n">
        <x:f>COUNTIFS('Risk Register'!$A$5:$A$104,"&lt;&gt;",'Risk Register'!$G$5:$G$104,$D16,'Risk Register'!$H$5:$H$104,F$13)</x:f>
        <x:v>0</x:v>
      </x:c>
      <x:c r="G16" s="175" t="n">
        <x:f>COUNTIFS('Risk Register'!$A$5:$A$104,"&lt;&gt;",'Risk Register'!$G$5:$G$104,$D16,'Risk Register'!$H$5:$H$104,G$13)</x:f>
        <x:v>0</x:v>
      </x:c>
      <x:c r="H16" s="176" t="n">
        <x:f>COUNTIFS('Risk Register'!$A$5:$A$104,"&lt;&gt;",'Risk Register'!$G$5:$G$104,$D16,'Risk Register'!$H$5:$H$104,H$13)</x:f>
        <x:v>9</x:v>
      </x:c>
      <x:c r="I16" s="176" t="n">
        <x:f>COUNTIFS('Risk Register'!$A$5:$A$104,"&lt;&gt;",'Risk Register'!$G$5:$G$104,$D16,'Risk Register'!$H$5:$H$104,I$13)</x:f>
        <x:v>7</x:v>
      </x:c>
    </x:row>
    <x:row r="17" ht="36" customHeight="1">
      <x:c r="A17" s="184" t="str">
        <x:v>Scope</x:v>
      </x:c>
      <x:c r="B17" s="123" t="str">
        <x:v>All scored records, any status</x:v>
      </x:c>
      <x:c r="C17" s="114"/>
      <x:c r="D17" s="174" t="n">
        <x:v>2</x:v>
      </x:c>
      <x:c r="E17" s="180" t="n">
        <x:f>COUNTIFS('Risk Register'!$A$5:$A$104,"&lt;&gt;",'Risk Register'!$G$5:$G$104,$D17,'Risk Register'!$H$5:$H$104,E$13)</x:f>
        <x:v>0</x:v>
      </x:c>
      <x:c r="F17" s="180" t="n">
        <x:f>COUNTIFS('Risk Register'!$A$5:$A$104,"&lt;&gt;",'Risk Register'!$G$5:$G$104,$D17,'Risk Register'!$H$5:$H$104,F$13)</x:f>
        <x:v>0</x:v>
      </x:c>
      <x:c r="G17" s="175" t="n">
        <x:f>COUNTIFS('Risk Register'!$A$5:$A$104,"&lt;&gt;",'Risk Register'!$G$5:$G$104,$D17,'Risk Register'!$H$5:$H$104,G$13)</x:f>
        <x:v>0</x:v>
      </x:c>
      <x:c r="H17" s="175" t="n">
        <x:f>COUNTIFS('Risk Register'!$A$5:$A$104,"&lt;&gt;",'Risk Register'!$G$5:$G$104,$D17,'Risk Register'!$H$5:$H$104,H$13)</x:f>
        <x:v>1</x:v>
      </x:c>
      <x:c r="I17" s="176" t="n">
        <x:f>COUNTIFS('Risk Register'!$A$5:$A$104,"&lt;&gt;",'Risk Register'!$G$5:$G$104,$D17,'Risk Register'!$H$5:$H$104,I$13)</x:f>
        <x:v>0</x:v>
      </x:c>
    </x:row>
    <x:row r="18" ht="36" customHeight="1">
      <x:c r="A18" s="184" t="str">
        <x:v>Basis</x:v>
      </x:c>
      <x:c r="B18" s="123" t="str">
        <x:v>Scenario estimates, not verified</x:v>
      </x:c>
      <x:c r="C18" s="114"/>
      <x:c r="D18" s="174" t="n">
        <x:v>1</x:v>
      </x:c>
      <x:c r="E18" s="180" t="n">
        <x:f>COUNTIFS('Risk Register'!$A$5:$A$104,"&lt;&gt;",'Risk Register'!$G$5:$G$104,$D18,'Risk Register'!$H$5:$H$104,E$13)</x:f>
        <x:v>0</x:v>
      </x:c>
      <x:c r="F18" s="180" t="n">
        <x:f>COUNTIFS('Risk Register'!$A$5:$A$104,"&lt;&gt;",'Risk Register'!$G$5:$G$104,$D18,'Risk Register'!$H$5:$H$104,F$13)</x:f>
        <x:v>0</x:v>
      </x:c>
      <x:c r="G18" s="180" t="n">
        <x:f>COUNTIFS('Risk Register'!$A$5:$A$104,"&lt;&gt;",'Risk Register'!$G$5:$G$104,$D18,'Risk Register'!$H$5:$H$104,G$13)</x:f>
        <x:v>0</x:v>
      </x:c>
      <x:c r="H18" s="180" t="n">
        <x:f>COUNTIFS('Risk Register'!$A$5:$A$104,"&lt;&gt;",'Risk Register'!$G$5:$G$104,$D18,'Risk Register'!$H$5:$H$104,H$13)</x:f>
        <x:v>0</x:v>
      </x:c>
      <x:c r="I18" s="175" t="n">
        <x:f>COUNTIFS('Risk Register'!$A$5:$A$104,"&lt;&gt;",'Risk Register'!$G$5:$G$104,$D18,'Risk Register'!$H$5:$H$104,I$13)</x:f>
        <x:v>0</x:v>
      </x:c>
    </x:row>
    <x:row r="19" ht="25" customHeight="1">
      <x:c r="A19" s="114"/>
      <x:c r="B19" s="114"/>
      <x:c r="C19" s="114"/>
      <x:c r="D19" s="114"/>
      <x:c r="E19" s="114"/>
      <x:c r="F19" s="114"/>
      <x:c r="G19" s="114"/>
      <x:c r="H19" s="114"/>
      <x:c r="I19" s="114"/>
    </x:row>
    <x:row r="20" ht="25" customHeight="1">
      <x:c r="A20" s="114"/>
      <x:c r="B20" s="114"/>
      <x:c r="C20" s="114"/>
      <x:c r="D20" s="114"/>
      <x:c r="E20" s="114"/>
      <x:c r="F20" s="114"/>
      <x:c r="G20" s="114"/>
      <x:c r="H20" s="114"/>
      <x:c r="I20" s="114"/>
    </x:row>
    <x:row r="21" ht="25" customHeight="1">
      <x:c r="A21" s="143" t="str">
        <x:v>Record review</x:v>
      </x:c>
      <x:c r="B21" s="143" t="str">
        <x:v>Count</x:v>
      </x:c>
      <x:c r="C21" s="114"/>
      <x:c r="D21" s="114"/>
      <x:c r="E21" s="114"/>
      <x:c r="F21" s="114"/>
      <x:c r="G21" s="114"/>
      <x:c r="H21" s="114"/>
      <x:c r="I21" s="114"/>
    </x:row>
    <x:row r="22" ht="25" customHeight="1">
      <x:c r="A22" s="123" t="str">
        <x:v>Risk records</x:v>
      </x:c>
      <x:c r="B22" s="185" t="n">
        <x:f>COUNTA('Risk Register'!$A$5:$A$104)</x:f>
        <x:v>30</x:v>
      </x:c>
      <x:c r="C22" s="114"/>
      <x:c r="D22" s="114"/>
      <x:c r="E22" s="114"/>
      <x:c r="F22" s="114"/>
      <x:c r="G22" s="114"/>
      <x:c r="H22" s="114"/>
      <x:c r="I22" s="114"/>
    </x:row>
    <x:row r="23" ht="25" customHeight="1">
      <x:c r="A23" s="123" t="str">
        <x:v>Residual scores not assessed</x:v>
      </x:c>
      <x:c r="B23" s="185" t="n">
        <x:f>COUNTIF('Risk Register'!$P$5:$P$104,"Not assessed")</x:f>
        <x:v>0</x:v>
      </x:c>
      <x:c r="C23" s="114"/>
      <x:c r="D23" s="114"/>
      <x:c r="E23" s="114"/>
      <x:c r="F23" s="114"/>
      <x:c r="G23" s="114"/>
      <x:c r="H23" s="114"/>
      <x:c r="I23" s="114"/>
    </x:row>
    <x:row r="24" ht="25" customHeight="1">
      <x:c r="A24" s="123" t="str">
        <x:v>Input checks needing attention</x:v>
      </x:c>
      <x:c r="B24" s="185" t="n">
        <x:f>COUNTIF('Risk Register'!$AD$5:$AD$104,"Missing ID")+COUNTIF('Risk Register'!$AD$5:$AD$104,"Duplicate ID")+COUNTIF('Risk Register'!$AD$5:$AD$104,"Missing assessment context")+COUNTIF('Risk Register'!$AD$5:$AD$104,"Incomplete or invalid scores")+COUNTIF('Risk Register'!$AD$5:$AD$104,"Missing owner or invalid status")+COUNTIF('Risk Register'!$AD$5:$AD$104,"Missing or invalid target date")+COUNTIF('Risk Register'!$AD$5:$AD$104,"Invalid treatment")+COUNTIF('Risk Register'!$AD$5:$AD$104,"Treatment/status conflict")+COUNTIF('Risk Register'!$AD$5:$AD$104,"Review residual increase")</x:f>
        <x:v>0</x:v>
      </x:c>
      <x:c r="C24" s="114"/>
      <x:c r="D24" s="114"/>
      <x:c r="E24" s="114"/>
      <x:c r="F24" s="114"/>
      <x:c r="G24" s="114"/>
      <x:c r="H24" s="114"/>
      <x:c r="I24" s="114"/>
    </x:row>
    <x:row r="25" ht="25" customHeight="1">
      <x:c r="A25" s="123" t="str">
        <x:v>Assessment support missing</x:v>
      </x:c>
      <x:c r="B25" s="185" t="n">
        <x:f>COUNTIF('Risk Register'!$AE$5:$AE$104,"Add assessment support")+COUNTIF('Risk Register'!$AE$5:$AE$104,"Review date outside period")</x:f>
        <x:v>0</x:v>
      </x:c>
      <x:c r="C25" s="114"/>
      <x:c r="D25" s="114"/>
      <x:c r="E25" s="114"/>
      <x:c r="F25" s="114"/>
      <x:c r="G25" s="114"/>
      <x:c r="H25" s="114"/>
      <x:c r="I25" s="114"/>
    </x:row>
    <x:row r="26" ht="25" customHeight="1">
      <x:c r="A26" s="123" t="str">
        <x:v>Closure reviews needed</x:v>
      </x:c>
      <x:c r="B26" s="185" t="n">
        <x:f>COUNTIF('Risk Register'!$AE$5:$AE$104,"Closure review needed")</x:f>
        <x:v>0</x:v>
      </x:c>
      <x:c r="C26" s="114"/>
      <x:c r="D26" s="114"/>
      <x:c r="E26" s="114"/>
      <x:c r="F26" s="114"/>
      <x:c r="G26" s="114"/>
      <x:c r="H26" s="114"/>
      <x:c r="I26" s="114"/>
    </x:row>
    <x:row r="27" ht="25" customHeight="1">
      <x:c r="A27" s="114" t="str">
        <x:v>Scenario-only records</x:v>
      </x:c>
      <x:c r="B27" s="114" t="n">
        <x:f>COUNTIF('Risk Register'!$Z$5:$Z$104,"Scenario only")</x:f>
        <x:v>30</x:v>
      </x:c>
      <x:c r="C27" s="114"/>
      <x:c r="D27" s="114"/>
      <x:c r="E27" s="114"/>
      <x:c r="F27" s="114"/>
      <x:c r="G27" s="114"/>
      <x:c r="H27" s="114"/>
      <x:c r="I27" s="114"/>
    </x:row>
    <x:row r="28" ht="25" customHeight="1">
      <x:c r="A28" s="114" t="str">
        <x:v>Evidence-reviewed records</x:v>
      </x:c>
      <x:c r="B28" s="114" t="n">
        <x:f>COUNTIF('Risk Register'!$Z$5:$Z$104,"Evidence reviewed")</x:f>
        <x:v>0</x:v>
      </x:c>
      <x:c r="C28" s="114"/>
      <x:c r="D28" s="114"/>
      <x:c r="E28" s="114"/>
      <x:c r="F28" s="114"/>
      <x:c r="G28" s="114"/>
      <x:c r="H28" s="114"/>
      <x:c r="I28" s="114"/>
    </x:row>
    <x:row r="29" ht="25" customHeight="1">
      <x:c r="A29" s="114" t="str">
        <x:v>Acceptance proposals</x:v>
      </x:c>
      <x:c r="B29" s="114" t="n">
        <x:f>COUNTIFS('Risk Register'!$Q$5:$Q$104,"Accept",'Risk Register'!$T$5:$T$104,"&lt;&gt;Accepted",'Risk Register'!$T$5:$T$104,"&lt;&gt;Closed")</x:f>
        <x:v>1</x:v>
      </x:c>
      <x:c r="C29" s="114"/>
      <x:c r="D29" s="114"/>
      <x:c r="E29" s="114"/>
      <x:c r="F29" s="114"/>
      <x:c r="G29" s="114"/>
      <x:c r="H29" s="114"/>
      <x:c r="I29" s="114"/>
    </x:row>
    <x:row r="30" ht="25" customHeight="1">
      <x:c r="A30" s="114" t="str">
        <x:v>Acceptance reviews overdue</x:v>
      </x:c>
      <x:c r="B30" s="114" t="n">
        <x:f>COUNTIFS('Risk Register'!$T$5:$T$104,"Accepted",'Risk Register'!$U$5:$U$104,"&gt;0",'Risk Register'!$U$5:$U$104,"&lt;"&amp;Methodology!$B$25)</x:f>
        <x:v>0</x:v>
      </x:c>
      <x:c r="C30" s="114"/>
      <x:c r="D30" s="114"/>
      <x:c r="E30" s="114"/>
      <x:c r="F30" s="114"/>
      <x:c r="G30" s="114"/>
      <x:c r="H30" s="114"/>
      <x:c r="I30" s="114"/>
    </x:row>
    <x:row r="31" ht="25" customHeight="1"/>
  </x:sheetData>
  <x:mergeCells>
    <x:mergeCell ref="D3:I3"/>
    <x:mergeCell ref="D12:I12"/>
    <x:mergeCell ref="A1:I1"/>
  </x:mergeCells>
  <x:pageMargins left="0.7" right="0.7" top="0.75" bottom="0.75" header="0.3" footer="0.3"/>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10" hidden="0" customWidth="1"/>
    <x:col min="2" max="2" width="52" hidden="0" customWidth="1"/>
    <x:col min="3" max="3" width="16" hidden="0" customWidth="1"/>
    <x:col min="4" max="4" width="14" hidden="0" customWidth="1"/>
    <x:col min="5" max="5" width="20" hidden="0" customWidth="1"/>
    <x:col min="6" max="6" width="14" hidden="0" customWidth="1"/>
    <x:col min="7" max="7" width="14" hidden="0" customWidth="1"/>
    <x:col min="8" max="8" width="14" hidden="0" customWidth="1"/>
    <x:col min="9" max="9" width="48" hidden="0" customWidth="1"/>
    <x:col min="10" max="10" width="38" hidden="0" customWidth="1"/>
    <x:col min="11" max="11" width="53" hidden="0" customWidth="1"/>
    <x:col min="12" max="12" width="22" hidden="0" customWidth="1"/>
    <x:col min="13" max="13" width="47" hidden="0" customWidth="1"/>
    <x:col min="14" max="14" width="18" hidden="0" customWidth="1"/>
    <x:col min="15" max="15" width="45" hidden="0" customWidth="1"/>
    <x:col min="16" max="16" width="25" hidden="0" customWidth="1"/>
    <x:col min="17" max="17" width="29" hidden="0" customWidth="1"/>
    <x:col min="18" max="18" width="29" hidden="0" customWidth="1"/>
    <x:col min="19" max="19" width="65" hidden="0" customWidth="1"/>
    <x:col min="20" max="20" width="28" hidden="0" customWidth="1"/>
  </x:cols>
  <x:sheetData>
    <x:row r="1">
      <x:c r="A1" s="113" t="str">
        <x:v>Risk Treatment Log</x:v>
      </x:c>
      <x:c r="B1" s="114"/>
      <x:c r="C1" s="114"/>
      <x:c r="D1" s="114"/>
      <x:c r="E1" s="114"/>
      <x:c r="F1" s="114"/>
      <x:c r="G1" s="114"/>
      <x:c r="H1" s="114"/>
      <x:c r="I1" s="114"/>
      <x:c r="J1" s="114"/>
      <x:c r="K1" s="114"/>
      <x:c r="L1" s="114"/>
      <x:c r="M1" s="114"/>
      <x:c r="N1" s="114"/>
      <x:c r="O1" s="114"/>
      <x:c r="P1" s="114"/>
      <x:c r="Q1" s="114"/>
      <x:c r="R1" s="114"/>
      <x:c r="S1" s="114"/>
      <x:c r="T1" s="114"/>
    </x:row>
    <x:row r="2">
      <x:c r="A2" s="115" t="str">
        <x:v>Read-only linked view. Edit the main sheet. Filter Schedule, rating/priority or owner to plan follow-up.</x:v>
      </x:c>
      <x:c r="B2" s="114"/>
      <x:c r="C2" s="114"/>
      <x:c r="D2" s="114"/>
      <x:c r="E2" s="114"/>
      <x:c r="F2" s="114"/>
      <x:c r="G2" s="114"/>
      <x:c r="H2" s="114"/>
      <x:c r="I2" s="114"/>
      <x:c r="J2" s="114"/>
      <x:c r="K2" s="114"/>
      <x:c r="L2" s="114"/>
      <x:c r="M2" s="114"/>
      <x:c r="N2" s="114"/>
      <x:c r="O2" s="114"/>
      <x:c r="P2" s="114"/>
      <x:c r="Q2" s="114"/>
      <x:c r="R2" s="114"/>
      <x:c r="S2" s="114"/>
      <x:c r="T2" s="114"/>
    </x:row>
    <x:row r="3">
      <x:c r="A3" s="114"/>
      <x:c r="B3" s="114"/>
      <x:c r="C3" s="114"/>
      <x:c r="D3" s="114"/>
      <x:c r="E3" s="114"/>
      <x:c r="F3" s="114"/>
      <x:c r="G3" s="114"/>
      <x:c r="H3" s="114"/>
      <x:c r="I3" s="114"/>
      <x:c r="J3" s="114"/>
      <x:c r="K3" s="114"/>
      <x:c r="L3" s="114"/>
      <x:c r="M3" s="114"/>
      <x:c r="N3" s="114"/>
      <x:c r="O3" s="114"/>
      <x:c r="P3" s="114"/>
      <x:c r="Q3" s="114"/>
      <x:c r="R3" s="114"/>
      <x:c r="S3" s="114"/>
      <x:c r="T3" s="114"/>
    </x:row>
    <x:row r="4" ht="48" customHeight="1">
      <x:c r="A4" s="143" t="str">
        <x:v>Risk ID</x:v>
      </x:c>
      <x:c r="B4" s="143" t="str">
        <x:v>Risk Statement</x:v>
      </x:c>
      <x:c r="C4" s="143" t="str">
        <x:v>Residual Rating</x:v>
      </x:c>
      <x:c r="D4" s="143" t="str">
        <x:v>Treatment</x:v>
      </x:c>
      <x:c r="E4" s="143" t="str">
        <x:v>Owner</x:v>
      </x:c>
      <x:c r="F4" s="143" t="str">
        <x:v>Status</x:v>
      </x:c>
      <x:c r="G4" s="143" t="str">
        <x:v>Target Date</x:v>
      </x:c>
      <x:c r="H4" s="143" t="str">
        <x:v>Days to Target</x:v>
      </x:c>
      <x:c r="I4" s="143" t="str">
        <x:v>Recommended Action</x:v>
      </x:c>
      <x:c r="J4" s="143" t="str">
        <x:v>Evidence / Notes</x:v>
      </x:c>
      <x:c r="K4" s="143" t="str">
        <x:v>Assessment Rationale</x:v>
      </x:c>
      <x:c r="L4" s="143" t="str">
        <x:v>Evidence Basis</x:v>
      </x:c>
      <x:c r="M4" s="143" t="str">
        <x:v>Evidence Reference or Request</x:v>
      </x:c>
      <x:c r="N4" s="143" t="str">
        <x:v>Assessment Review Date</x:v>
      </x:c>
      <x:c r="O4" s="143" t="str">
        <x:v>Closure or Acceptance Note</x:v>
      </x:c>
      <x:c r="P4" s="143" t="str">
        <x:v>Input Check</x:v>
      </x:c>
      <x:c r="Q4" s="143" t="str">
        <x:v>Follow-up Check</x:v>
      </x:c>
      <x:c r="R4" s="143" t="str">
        <x:v>Related Gap IDs</x:v>
      </x:c>
      <x:c r="S4" s="143" t="str">
        <x:v>Completion / Acceptance Test</x:v>
      </x:c>
      <x:c r="T4" s="143" t="str">
        <x:v>Schedule</x:v>
      </x:c>
    </x:row>
    <x:row r="5" ht="110" customHeight="1">
      <x:c r="A5" s="138" t="str">
        <x:f>IF('Risk Register'!A5="","",'Risk Register'!A5)</x:f>
        <x:v>R-001</x:v>
      </x:c>
      <x:c r="B5" s="138" t="str">
        <x:f>IF(A5="","",'Risk Register'!D5)</x:f>
        <x:v>A stolen privileged account could give an attacker administrative access to business systems and customer data.</x:v>
      </x:c>
      <x:c r="C5" s="138" t="str">
        <x:f>IF(A5="","",'Risk Register'!P5)</x:f>
        <x:v>High</x:v>
      </x:c>
      <x:c r="D5" s="138" t="str">
        <x:f>IF(A5="","",'Risk Register'!Q5)</x:f>
        <x:v>Mitigate</x:v>
      </x:c>
      <x:c r="E5" s="138" t="str">
        <x:f>IF(A5="","",'Risk Register'!S5)</x:f>
        <x:v>IT Manager</x:v>
      </x:c>
      <x:c r="F5" s="138" t="str">
        <x:f>IF(A5="","",'Risk Register'!T5)</x:f>
        <x:v>In Progress</x:v>
      </x:c>
      <x:c r="G5" s="187" t="n">
        <x:f>IF(A5="","",IF(ISNUMBER('Risk Register'!U5),IF('Risk Register'!U5&gt;0,'Risk Register'!U5,""),""))</x:f>
        <x:v>46302</x:v>
      </x:c>
      <x:c r="H5" s="138" t="n">
        <x:f>IF(A5="","",IF(OR(F5="Closed",F5="Accepted"),"",IF(ISNUMBER('Risk Register'!U5),IF('Risk Register'!U5&gt;0,'Risk Register'!U5-Methodology!$B$25,""),"")))</x:f>
        <x:v>4</x:v>
      </x:c>
      <x:c r="I5" s="138" t="str">
        <x:f>IF(A5="","",'Risk Register'!R5)</x:f>
        <x:v>Require phishing-resistant MFA for privileged roles and review privileged access quarterly.</x:v>
      </x:c>
      <x:c r="J5" s="138" t="str">
        <x:f>IF(A5="","",'Risk Register'!X5)</x:f>
        <x:v>Fictional scenario. Evidence listed at right has not been collected; completion test is proposed.</x:v>
      </x:c>
      <x:c r="K5" s="138" t="str">
        <x:f>IF(A5="","",IF('Risk Register'!Y5="","",'Risk Register'!Y5))</x:f>
        <x:v>Privileged accounts can reach customer data and core administration, so impact is 5. Standard MFA adds a barrier, reducing likelihood from 4 to 3; incomplete phishing-resistant coverage prevents a lower estimate. No control here limits the damage after administrator takeover.</x:v>
      </x:c>
      <x:c r="L5" s="138" t="str">
        <x:f>IF(A5="","",IF('Risk Register'!Z5="","",'Risk Register'!Z5))</x:f>
        <x:v>Scenario only</x:v>
      </x:c>
      <x:c r="M5" s="138" t="str">
        <x:f>IF(A5="","",IF('Risk Register'!AA5="","",'Risk Register'!AA5))</x:f>
        <x:v>Privileged account list, MFA enforcement settings, exception list and recent sign-in records.</x:v>
      </x:c>
      <x:c r="N5" s="188" t="n">
        <x:f>IF(A5="","",IF('Risk Register'!AB5="","",'Risk Register'!AB5))</x:f>
        <x:v>46298</x:v>
      </x:c>
      <x:c r="O5" s="138" t="str">
        <x:f>IF(A5="","",IF('Risk Register'!AC5="","",'Risk Register'!AC5))</x:f>
      </x:c>
      <x:c r="P5" s="138" t="str">
        <x:f>IF(A5="","",'Risk Register'!AD5)</x:f>
        <x:v>OK</x:v>
      </x:c>
      <x:c r="Q5" s="138" t="str">
        <x:f>IF(A5="","",'Risk Register'!AE5)</x:f>
        <x:v>Scenario documented</x:v>
      </x:c>
      <x:c r="R5" s="138" t="str">
        <x:f>IF(A5="","",'Risk Register'!AF5)</x:f>
        <x:v>GA-012, GA-013, GA-022</x:v>
      </x:c>
      <x:c r="S5" s="138" t="str">
        <x:f>IF(A5="","",'Risk Register'!AG5)</x:f>
        <x:v>Reconcile every privileged account to enforced phishing-resistant MFA; test a blocked noncompliant sign-in and review approved recovery exceptions.</x:v>
      </x:c>
      <x:c r="T5" s="138" t="str">
        <x:f>IF(A5="","",IF(NOT(ISNUMBER('Risk Register'!U5)),"Date needed",IF('Risk Register'!U5&lt;=0,"Date needed",IF('Risk Register'!T5="Closed","Closed",IF('Risk Register'!T5="Accepted",IF('Risk Register'!U5&lt;Methodology!$B$25,"Acceptance review due","Accepted - review scheduled"),IF('Risk Register'!U5&lt;Methodology!$B$25,"Overdue",IF('Risk Register'!U5&lt;=Methodology!$B$25+30,"Due within 30 days","Scheduled")))))))</x:f>
        <x:v>Due within 30 days</x:v>
      </x:c>
    </x:row>
    <x:row r="6" ht="110" customHeight="1">
      <x:c r="A6" s="138" t="str">
        <x:f>IF('Risk Register'!A6="","",'Risk Register'!A6)</x:f>
        <x:v>R-002</x:v>
      </x:c>
      <x:c r="B6" s="138" t="str">
        <x:f>IF(A6="","",'Risk Register'!D6)</x:f>
        <x:v>A terminated employee account could remain active and be used to access company systems after separation.</x:v>
      </x:c>
      <x:c r="C6" s="138" t="str">
        <x:f>IF(A6="","",'Risk Register'!P6)</x:f>
        <x:v>High</x:v>
      </x:c>
      <x:c r="D6" s="138" t="str">
        <x:f>IF(A6="","",'Risk Register'!Q6)</x:f>
        <x:v>Mitigate</x:v>
      </x:c>
      <x:c r="E6" s="138" t="str">
        <x:f>IF(A6="","",'Risk Register'!S6)</x:f>
        <x:v>HR Manager</x:v>
      </x:c>
      <x:c r="F6" s="138" t="str">
        <x:f>IF(A6="","",'Risk Register'!T6)</x:f>
        <x:v>Planned</x:v>
      </x:c>
      <x:c r="G6" s="187" t="n">
        <x:f>IF(A6="","",IF(ISNUMBER('Risk Register'!U6),IF('Risk Register'!U6&gt;0,'Risk Register'!U6,""),""))</x:f>
        <x:v>46317</x:v>
      </x:c>
      <x:c r="H6" s="138" t="n">
        <x:f>IF(A6="","",IF(OR(F6="Closed",F6="Accepted"),"",IF(ISNUMBER('Risk Register'!U6),IF('Risk Register'!U6&gt;0,'Risk Register'!U6-Methodology!$B$25,""),"")))</x:f>
        <x:v>19</x:v>
      </x:c>
      <x:c r="I6" s="138" t="str">
        <x:f>IF(A6="","",'Risk Register'!R6)</x:f>
        <x:v>Formalize joiner-mover-leaver workflow and review inactive accounts monthly.</x:v>
      </x:c>
      <x:c r="J6" s="138" t="str">
        <x:f>IF(A6="","",'Risk Register'!X6)</x:f>
        <x:v>Fictional scenario. Evidence listed at right has not been collected; completion test is proposed.</x:v>
      </x:c>
      <x:c r="K6" s="138" t="str">
        <x:f>IF(A6="","",IF('Risk Register'!Y6="","",'Risk Register'!Y6))</x:f>
        <x:v>A missed termination could leave an account usable, giving likelihood 3. The HR ticket and manual disablement step reduce this to 2. Impact remains 5 because access could include sensitive systems; disabling accounts has not been tested.</x:v>
      </x:c>
      <x:c r="L6" s="138" t="str">
        <x:f>IF(A6="","",IF('Risk Register'!Z6="","",'Risk Register'!Z6))</x:f>
        <x:v>Scenario only</x:v>
      </x:c>
      <x:c r="M6" s="138" t="str">
        <x:f>IF(A6="","",IF('Risk Register'!AA6="","",'Risk Register'!AA6))</x:f>
        <x:v>Departure list, HR tickets, identity disablement timestamps and application session-revocation records.</x:v>
      </x:c>
      <x:c r="N6" s="188" t="n">
        <x:f>IF(A6="","",IF('Risk Register'!AB6="","",'Risk Register'!AB6))</x:f>
        <x:v>46298</x:v>
      </x:c>
      <x:c r="O6" s="138" t="str">
        <x:f>IF(A6="","",IF('Risk Register'!AC6="","",'Risk Register'!AC6))</x:f>
      </x:c>
      <x:c r="P6" s="138" t="str">
        <x:f>IF(A6="","",'Risk Register'!AD6)</x:f>
        <x:v>OK</x:v>
      </x:c>
      <x:c r="Q6" s="138" t="str">
        <x:f>IF(A6="","",'Risk Register'!AE6)</x:f>
        <x:v>Scenario documented</x:v>
      </x:c>
      <x:c r="R6" s="138" t="str">
        <x:f>IF(A6="","",'Risk Register'!AF6)</x:f>
        <x:v>GA-013</x:v>
      </x:c>
      <x:c r="S6" s="138" t="str">
        <x:f>IF(A6="","",'Risk Register'!AG6)</x:f>
        <x:v>Compare recent departures with all assigned applications; confirm disablement met the approved deadline and active sessions were revoked.</x:v>
      </x:c>
      <x:c r="T6" s="138" t="str">
        <x:f>IF(A6="","",IF(NOT(ISNUMBER('Risk Register'!U6)),"Date needed",IF('Risk Register'!U6&lt;=0,"Date needed",IF('Risk Register'!T6="Closed","Closed",IF('Risk Register'!T6="Accepted",IF('Risk Register'!U6&lt;Methodology!$B$25,"Acceptance review due","Accepted - review scheduled"),IF('Risk Register'!U6&lt;Methodology!$B$25,"Overdue",IF('Risk Register'!U6&lt;=Methodology!$B$25+30,"Due within 30 days","Scheduled")))))))</x:f>
        <x:v>Due within 30 days</x:v>
      </x:c>
    </x:row>
    <x:row r="7" ht="110" customHeight="1">
      <x:c r="A7" s="138" t="str">
        <x:f>IF('Risk Register'!A7="","",'Risk Register'!A7)</x:f>
        <x:v>R-003</x:v>
      </x:c>
      <x:c r="B7" s="138" t="str">
        <x:f>IF(A7="","",'Risk Register'!D7)</x:f>
        <x:v>Excessive group or role permissions could expose sensitive files to users who do not need access.</x:v>
      </x:c>
      <x:c r="C7" s="138" t="str">
        <x:f>IF(A7="","",'Risk Register'!P7)</x:f>
        <x:v>High</x:v>
      </x:c>
      <x:c r="D7" s="138" t="str">
        <x:f>IF(A7="","",'Risk Register'!Q7)</x:f>
        <x:v>Mitigate</x:v>
      </x:c>
      <x:c r="E7" s="138" t="str">
        <x:f>IF(A7="","",'Risk Register'!S7)</x:f>
        <x:v>IT Manager</x:v>
      </x:c>
      <x:c r="F7" s="138" t="str">
        <x:f>IF(A7="","",'Risk Register'!T7)</x:f>
        <x:v>In Progress</x:v>
      </x:c>
      <x:c r="G7" s="187" t="n">
        <x:f>IF(A7="","",IF(ISNUMBER('Risk Register'!U7),IF('Risk Register'!U7&gt;0,'Risk Register'!U7,""),""))</x:f>
        <x:v>46332</x:v>
      </x:c>
      <x:c r="H7" s="138" t="n">
        <x:f>IF(A7="","",IF(OR(F7="Closed",F7="Accepted"),"",IF(ISNUMBER('Risk Register'!U7),IF('Risk Register'!U7&gt;0,'Risk Register'!U7-Methodology!$B$25,""),"")))</x:f>
        <x:v>34</x:v>
      </x:c>
      <x:c r="I7" s="138" t="str">
        <x:f>IF(A7="","",'Risk Register'!R7)</x:f>
        <x:v>Run quarterly access reviews and remove unnecessary permissions.</x:v>
      </x:c>
      <x:c r="J7" s="138" t="str">
        <x:f>IF(A7="","",'Risk Register'!X7)</x:f>
        <x:v>Fictional scenario. Evidence listed at right has not been collected; completion test is proposed.</x:v>
      </x:c>
      <x:c r="K7" s="138" t="str">
        <x:f>IF(A7="","",IF('Risk Register'!Y7="","",'Risk Register'!Y7))</x:f>
        <x:v>Broad group permissions create a likely exposure path (4) with major confidentiality impact (4). Manager approval and role groups reduce likelihood to 3, but no recurring recertification is demonstrated. Impact stays 4.</x:v>
      </x:c>
      <x:c r="L7" s="138" t="str">
        <x:f>IF(A7="","",IF('Risk Register'!Z7="","",'Risk Register'!Z7))</x:f>
        <x:v>Scenario only</x:v>
      </x:c>
      <x:c r="M7" s="138" t="str">
        <x:f>IF(A7="","",IF('Risk Register'!AA7="","",'Risk Register'!AA7))</x:f>
        <x:v>Group membership export, role definitions, data-owner list and access-review decisions.</x:v>
      </x:c>
      <x:c r="N7" s="188" t="n">
        <x:f>IF(A7="","",IF('Risk Register'!AB7="","",'Risk Register'!AB7))</x:f>
        <x:v>46298</x:v>
      </x:c>
      <x:c r="O7" s="138" t="str">
        <x:f>IF(A7="","",IF('Risk Register'!AC7="","",'Risk Register'!AC7))</x:f>
      </x:c>
      <x:c r="P7" s="138" t="str">
        <x:f>IF(A7="","",'Risk Register'!AD7)</x:f>
        <x:v>OK</x:v>
      </x:c>
      <x:c r="Q7" s="138" t="str">
        <x:f>IF(A7="","",'Risk Register'!AE7)</x:f>
        <x:v>Scenario documented</x:v>
      </x:c>
      <x:c r="R7" s="138" t="str">
        <x:f>IF(A7="","",'Risk Register'!AF7)</x:f>
        <x:v>GA-013, GA-015</x:v>
      </x:c>
      <x:c r="S7" s="138" t="str">
        <x:f>IF(A7="","",'Risk Register'!AG7)</x:f>
        <x:v>Have data owners review sensitive groups; remove unjustified access and retest with a user who should be denied.</x:v>
      </x:c>
      <x:c r="T7" s="138" t="str">
        <x:f>IF(A7="","",IF(NOT(ISNUMBER('Risk Register'!U7)),"Date needed",IF('Risk Register'!U7&lt;=0,"Date needed",IF('Risk Register'!T7="Closed","Closed",IF('Risk Register'!T7="Accepted",IF('Risk Register'!U7&lt;Methodology!$B$25,"Acceptance review due","Accepted - review scheduled"),IF('Risk Register'!U7&lt;Methodology!$B$25,"Overdue",IF('Risk Register'!U7&lt;=Methodology!$B$25+30,"Due within 30 days","Scheduled")))))))</x:f>
        <x:v>Scheduled</x:v>
      </x:c>
    </x:row>
    <x:row r="8" ht="110" customHeight="1">
      <x:c r="A8" s="138" t="str">
        <x:f>IF('Risk Register'!A8="","",'Risk Register'!A8)</x:f>
        <x:v>R-004</x:v>
      </x:c>
      <x:c r="B8" s="138" t="str">
        <x:f>IF(A8="","",'Risk Register'!D8)</x:f>
        <x:v>Overly permissive network rules could expose an internal service to the internet.</x:v>
      </x:c>
      <x:c r="C8" s="138" t="str">
        <x:f>IF(A8="","",'Risk Register'!P8)</x:f>
        <x:v>High</x:v>
      </x:c>
      <x:c r="D8" s="138" t="str">
        <x:f>IF(A8="","",'Risk Register'!Q8)</x:f>
        <x:v>Mitigate</x:v>
      </x:c>
      <x:c r="E8" s="138" t="str">
        <x:f>IF(A8="","",'Risk Register'!S8)</x:f>
        <x:v>Cloud Owner</x:v>
      </x:c>
      <x:c r="F8" s="138" t="str">
        <x:f>IF(A8="","",'Risk Register'!T8)</x:f>
        <x:v>In Progress</x:v>
      </x:c>
      <x:c r="G8" s="187" t="n">
        <x:f>IF(A8="","",IF(ISNUMBER('Risk Register'!U8),IF('Risk Register'!U8&gt;0,'Risk Register'!U8,""),""))</x:f>
        <x:v>46293</x:v>
      </x:c>
      <x:c r="H8" s="138" t="n">
        <x:f>IF(A8="","",IF(OR(F8="Closed",F8="Accepted"),"",IF(ISNUMBER('Risk Register'!U8),IF('Risk Register'!U8&gt;0,'Risk Register'!U8-Methodology!$B$25,""),"")))</x:f>
        <x:v>-5</x:v>
      </x:c>
      <x:c r="I8" s="138" t="str">
        <x:f>IF(A8="","",'Risk Register'!R8)</x:f>
        <x:v>Restrict ingress to approved ports and sources; add recurring configuration reviews.</x:v>
      </x:c>
      <x:c r="J8" s="138" t="str">
        <x:f>IF(A8="","",'Risk Register'!X8)</x:f>
        <x:v>Fictional scenario. Evidence listed at right has not been collected; completion test is proposed.</x:v>
      </x:c>
      <x:c r="K8" s="138" t="str">
        <x:f>IF(A8="","",IF('Risk Register'!Y8="","",'Risk Register'!Y8))</x:f>
        <x:v>Internet exposure of an internal service gives likelihood 4 and severe impact 5. Existing firewalls and manual review reduce likelihood to 3, but permissive rules remain possible. Proposed automated checks receive no current risk credit.</x:v>
      </x:c>
      <x:c r="L8" s="138" t="str">
        <x:f>IF(A8="","",IF('Risk Register'!Z8="","",'Risk Register'!Z8))</x:f>
        <x:v>Scenario only</x:v>
      </x:c>
      <x:c r="M8" s="138" t="str">
        <x:f>IF(A8="","",IF('Risk Register'!AA8="","",'Risk Register'!AA8))</x:f>
        <x:v>Cloud firewall/security-group exports, service inventory, exposure scan and rule-change approvals.</x:v>
      </x:c>
      <x:c r="N8" s="188" t="n">
        <x:f>IF(A8="","",IF('Risk Register'!AB8="","",'Risk Register'!AB8))</x:f>
        <x:v>46298</x:v>
      </x:c>
      <x:c r="O8" s="138" t="str">
        <x:f>IF(A8="","",IF('Risk Register'!AC8="","",'Risk Register'!AC8))</x:f>
      </x:c>
      <x:c r="P8" s="138" t="str">
        <x:f>IF(A8="","",'Risk Register'!AD8)</x:f>
        <x:v>OK</x:v>
      </x:c>
      <x:c r="Q8" s="138" t="str">
        <x:f>IF(A8="","",'Risk Register'!AE8)</x:f>
        <x:v>Scenario documented</x:v>
      </x:c>
      <x:c r="R8" s="138" t="str">
        <x:f>IF(A8="","",'Risk Register'!AF8)</x:f>
        <x:v>GA-016, GA-020, GA-022</x:v>
      </x:c>
      <x:c r="S8" s="138" t="str">
        <x:f>IF(A8="","",'Risk Register'!AG8)</x:f>
        <x:v>Reconcile internet-facing rules to approved services; remove excessive sources and verify blocked access from an external test location.</x:v>
      </x:c>
      <x:c r="T8" s="138" t="str">
        <x:f>IF(A8="","",IF(NOT(ISNUMBER('Risk Register'!U8)),"Date needed",IF('Risk Register'!U8&lt;=0,"Date needed",IF('Risk Register'!T8="Closed","Closed",IF('Risk Register'!T8="Accepted",IF('Risk Register'!U8&lt;Methodology!$B$25,"Acceptance review due","Accepted - review scheduled"),IF('Risk Register'!U8&lt;Methodology!$B$25,"Overdue",IF('Risk Register'!U8&lt;=Methodology!$B$25+30,"Due within 30 days","Scheduled")))))))</x:f>
        <x:v>Overdue</x:v>
      </x:c>
    </x:row>
    <x:row r="9" ht="110" customHeight="1">
      <x:c r="A9" s="138" t="str">
        <x:f>IF('Risk Register'!A9="","",'Risk Register'!A9)</x:f>
        <x:v>R-005</x:v>
      </x:c>
      <x:c r="B9" s="138" t="str">
        <x:f>IF(A9="","",'Risk Register'!D9)</x:f>
        <x:v>A cloud misconfiguration could expose restricted customer data to unauthorized users.</x:v>
      </x:c>
      <x:c r="C9" s="138" t="str">
        <x:f>IF(A9="","",'Risk Register'!P9)</x:f>
        <x:v>High</x:v>
      </x:c>
      <x:c r="D9" s="138" t="str">
        <x:f>IF(A9="","",'Risk Register'!Q9)</x:f>
        <x:v>Mitigate</x:v>
      </x:c>
      <x:c r="E9" s="138" t="str">
        <x:f>IF(A9="","",'Risk Register'!S9)</x:f>
        <x:v>Data Owner</x:v>
      </x:c>
      <x:c r="F9" s="138" t="str">
        <x:f>IF(A9="","",'Risk Register'!T9)</x:f>
        <x:v>Planned</x:v>
      </x:c>
      <x:c r="G9" s="187" t="n">
        <x:f>IF(A9="","",IF(ISNUMBER('Risk Register'!U9),IF('Risk Register'!U9&gt;0,'Risk Register'!U9,""),""))</x:f>
        <x:v>46302</x:v>
      </x:c>
      <x:c r="H9" s="138" t="n">
        <x:f>IF(A9="","",IF(OR(F9="Closed",F9="Accepted"),"",IF(ISNUMBER('Risk Register'!U9),IF('Risk Register'!U9&gt;0,'Risk Register'!U9-Methodology!$B$25,""),"")))</x:f>
        <x:v>4</x:v>
      </x:c>
      <x:c r="I9" s="138" t="str">
        <x:f>IF(A9="","",'Risk Register'!R9)</x:f>
        <x:v>Use private access, policy checks, and alerts for public exposure.</x:v>
      </x:c>
      <x:c r="J9" s="138" t="str">
        <x:f>IF(A9="","",'Risk Register'!X9)</x:f>
        <x:v>Fictional scenario. Evidence listed at right has not been collected; completion test is proposed.</x:v>
      </x:c>
      <x:c r="K9" s="138" t="str">
        <x:f>IF(A9="","",IF('Risk Register'!Y9="","",'Risk Register'!Y9))</x:f>
        <x:v>A storage permissions error is possible (3) and could disclose customer data (5). IAM roles reduce likelihood to 2. Encryption at rest does not prevent disclosure through an authorized public access path, so impact remains 5.</x:v>
      </x:c>
      <x:c r="L9" s="138" t="str">
        <x:f>IF(A9="","",IF('Risk Register'!Z9="","",'Risk Register'!Z9))</x:f>
        <x:v>Scenario only</x:v>
      </x:c>
      <x:c r="M9" s="138" t="str">
        <x:f>IF(A9="","",IF('Risk Register'!AA9="","",'Risk Register'!AA9))</x:f>
        <x:v>Storage access policies, public-access settings, classification records and access logs.</x:v>
      </x:c>
      <x:c r="N9" s="188" t="n">
        <x:f>IF(A9="","",IF('Risk Register'!AB9="","",'Risk Register'!AB9))</x:f>
        <x:v>46298</x:v>
      </x:c>
      <x:c r="O9" s="138" t="str">
        <x:f>IF(A9="","",IF('Risk Register'!AC9="","",'Risk Register'!AC9))</x:f>
      </x:c>
      <x:c r="P9" s="138" t="str">
        <x:f>IF(A9="","",'Risk Register'!AD9)</x:f>
        <x:v>OK</x:v>
      </x:c>
      <x:c r="Q9" s="138" t="str">
        <x:f>IF(A9="","",'Risk Register'!AE9)</x:f>
        <x:v>Scenario documented</x:v>
      </x:c>
      <x:c r="R9" s="138" t="str">
        <x:f>IF(A9="","",'Risk Register'!AF9)</x:f>
        <x:v>GA-015, GA-022</x:v>
      </x:c>
      <x:c r="S9" s="138" t="str">
        <x:f>IF(A9="","",'Risk Register'!AG9)</x:f>
        <x:v>Test that anonymous and unauthorized principals cannot read restricted objects; verify public-access prevention and approved exceptions.</x:v>
      </x:c>
      <x:c r="T9" s="138" t="str">
        <x:f>IF(A9="","",IF(NOT(ISNUMBER('Risk Register'!U9)),"Date needed",IF('Risk Register'!U9&lt;=0,"Date needed",IF('Risk Register'!T9="Closed","Closed",IF('Risk Register'!T9="Accepted",IF('Risk Register'!U9&lt;Methodology!$B$25,"Acceptance review due","Accepted - review scheduled"),IF('Risk Register'!U9&lt;Methodology!$B$25,"Overdue",IF('Risk Register'!U9&lt;=Methodology!$B$25+30,"Due within 30 days","Scheduled")))))))</x:f>
        <x:v>Due within 30 days</x:v>
      </x:c>
    </x:row>
    <x:row r="10" ht="110" customHeight="1">
      <x:c r="A10" s="138" t="str">
        <x:f>IF('Risk Register'!A10="","",'Risk Register'!A10)</x:f>
        <x:v>R-006</x:v>
      </x:c>
      <x:c r="B10" s="138" t="str">
        <x:f>IF(A10="","",'Risk Register'!D10)</x:f>
        <x:v>Malware on an employee laptop could steal credentials or provide an attacker a foothold in the environment.</x:v>
      </x:c>
      <x:c r="C10" s="138" t="str">
        <x:f>IF(A10="","",'Risk Register'!P10)</x:f>
        <x:v>High</x:v>
      </x:c>
      <x:c r="D10" s="138" t="str">
        <x:f>IF(A10="","",'Risk Register'!Q10)</x:f>
        <x:v>Mitigate</x:v>
      </x:c>
      <x:c r="E10" s="138" t="str">
        <x:f>IF(A10="","",'Risk Register'!S10)</x:f>
        <x:v>Security Manager</x:v>
      </x:c>
      <x:c r="F10" s="138" t="str">
        <x:f>IF(A10="","",'Risk Register'!T10)</x:f>
        <x:v>Planned</x:v>
      </x:c>
      <x:c r="G10" s="187" t="n">
        <x:f>IF(A10="","",IF(ISNUMBER('Risk Register'!U10),IF('Risk Register'!U10&gt;0,'Risk Register'!U10,""),""))</x:f>
        <x:v>46317</x:v>
      </x:c>
      <x:c r="H10" s="138" t="n">
        <x:f>IF(A10="","",IF(OR(F10="Closed",F10="Accepted"),"",IF(ISNUMBER('Risk Register'!U10),IF('Risk Register'!U10&gt;0,'Risk Register'!U10-Methodology!$B$25,""),"")))</x:f>
        <x:v>19</x:v>
      </x:c>
      <x:c r="I10" s="138" t="str">
        <x:f>IF(A10="","",'Risk Register'!R10)</x:f>
        <x:v>Deploy EDR and a secure endpoint baseline; reduce local administrator access.</x:v>
      </x:c>
      <x:c r="J10" s="138" t="str">
        <x:f>IF(A10="","",'Risk Register'!X10)</x:f>
        <x:v>Fictional scenario. Evidence listed at right has not been collected; completion test is proposed.</x:v>
      </x:c>
      <x:c r="K10" s="138" t="str">
        <x:f>IF(A10="","",IF('Risk Register'!Y10="","",'Risk Register'!Y10))</x:f>
        <x:v>Malware is likely to reach a laptop without controls (4), potentially exposing credentials and customer systems (5). Filtering and antivirus lower likelihood to 3. They do not establish containment, so impact stays 5.</x:v>
      </x:c>
      <x:c r="L10" s="138" t="str">
        <x:f>IF(A10="","",IF('Risk Register'!Z10="","",'Risk Register'!Z10))</x:f>
        <x:v>Scenario only</x:v>
      </x:c>
      <x:c r="M10" s="138" t="str">
        <x:f>IF(A10="","",IF('Risk Register'!AA10="","",'Risk Register'!AA10))</x:f>
        <x:v>Endpoint inventory, antivirus/EDR coverage, sensor health, baseline settings and alert-handling tickets.</x:v>
      </x:c>
      <x:c r="N10" s="188" t="n">
        <x:f>IF(A10="","",IF('Risk Register'!AB10="","",'Risk Register'!AB10))</x:f>
        <x:v>46298</x:v>
      </x:c>
      <x:c r="O10" s="138" t="str">
        <x:f>IF(A10="","",IF('Risk Register'!AC10="","",'Risk Register'!AC10))</x:f>
      </x:c>
      <x:c r="P10" s="138" t="str">
        <x:f>IF(A10="","",'Risk Register'!AD10)</x:f>
        <x:v>OK</x:v>
      </x:c>
      <x:c r="Q10" s="138" t="str">
        <x:f>IF(A10="","",'Risk Register'!AE10)</x:f>
        <x:v>Scenario documented</x:v>
      </x:c>
      <x:c r="R10" s="138" t="str">
        <x:f>IF(A10="","",'Risk Register'!AF10)</x:f>
        <x:v>GA-016, GA-022, GA-028</x:v>
      </x:c>
      <x:c r="S10" s="138" t="str">
        <x:f>IF(A10="","",'Risk Register'!AG10)</x:f>
        <x:v>Reconcile managed endpoints to healthy EDR sensors and use an authorized benign test to verify detection, escalation and isolation.</x:v>
      </x:c>
      <x:c r="T10" s="138" t="str">
        <x:f>IF(A10="","",IF(NOT(ISNUMBER('Risk Register'!U10)),"Date needed",IF('Risk Register'!U10&lt;=0,"Date needed",IF('Risk Register'!T10="Closed","Closed",IF('Risk Register'!T10="Accepted",IF('Risk Register'!U10&lt;Methodology!$B$25,"Acceptance review due","Accepted - review scheduled"),IF('Risk Register'!U10&lt;Methodology!$B$25,"Overdue",IF('Risk Register'!U10&lt;=Methodology!$B$25+30,"Due within 30 days","Scheduled")))))))</x:f>
        <x:v>Due within 30 days</x:v>
      </x:c>
    </x:row>
    <x:row r="11" ht="110" customHeight="1">
      <x:c r="A11" s="138" t="str">
        <x:f>IF('Risk Register'!A11="","",'Risk Register'!A11)</x:f>
        <x:v>R-007</x:v>
      </x:c>
      <x:c r="B11" s="138" t="str">
        <x:f>IF(A11="","",'Risk Register'!D11)</x:f>
        <x:v>A lost laptop could expose company data if local information is not adequately protected.</x:v>
      </x:c>
      <x:c r="C11" s="138" t="str">
        <x:f>IF(A11="","",'Risk Register'!P11)</x:f>
        <x:v>Medium</x:v>
      </x:c>
      <x:c r="D11" s="138" t="str">
        <x:f>IF(A11="","",'Risk Register'!Q11)</x:f>
        <x:v>Mitigate</x:v>
      </x:c>
      <x:c r="E11" s="138" t="str">
        <x:f>IF(A11="","",'Risk Register'!S11)</x:f>
        <x:v>IT Manager</x:v>
      </x:c>
      <x:c r="F11" s="138" t="str">
        <x:f>IF(A11="","",'Risk Register'!T11)</x:f>
        <x:v>Planned</x:v>
      </x:c>
      <x:c r="G11" s="187" t="n">
        <x:f>IF(A11="","",IF(ISNUMBER('Risk Register'!U11),IF('Risk Register'!U11&gt;0,'Risk Register'!U11,""),""))</x:f>
        <x:v>46258</x:v>
      </x:c>
      <x:c r="H11" s="138" t="n">
        <x:f>IF(A11="","",IF(OR(F11="Closed",F11="Accepted"),"",IF(ISNUMBER('Risk Register'!U11),IF('Risk Register'!U11&gt;0,'Risk Register'!U11-Methodology!$B$25,""),"")))</x:f>
        <x:v>-40</x:v>
      </x:c>
      <x:c r="I11" s="138" t="str">
        <x:f>IF(A11="","",'Risk Register'!R11)</x:f>
        <x:v>Verify full-disk encryption and enable remote wipe on all managed laptops.</x:v>
      </x:c>
      <x:c r="J11" s="138" t="str">
        <x:f>IF(A11="","",'Risk Register'!X11)</x:f>
        <x:v>Fictional scenario. Evidence listed at right has not been collected; completion test is proposed.</x:v>
      </x:c>
      <x:c r="K11" s="138" t="str">
        <x:f>IF(A11="","",IF('Risk Register'!Y11="","",'Risk Register'!Y11))</x:f>
        <x:v>Loss of a laptop is possible (3) and disclosure could be major (4). Login controls and management reduce exposure likelihood to 2. Encryption is only partial, so neither a lower impact nor completed treatment is supported.</x:v>
      </x:c>
      <x:c r="L11" s="138" t="str">
        <x:f>IF(A11="","",IF('Risk Register'!Z11="","",'Risk Register'!Z11))</x:f>
        <x:v>Scenario only</x:v>
      </x:c>
      <x:c r="M11" s="138" t="str">
        <x:f>IF(A11="","",IF('Risk Register'!AA11="","",'Risk Register'!AA11))</x:f>
        <x:v>Laptop inventory, encryption compliance, recovery-key access and lost-device procedure.</x:v>
      </x:c>
      <x:c r="N11" s="188" t="n">
        <x:f>IF(A11="","",IF('Risk Register'!AB11="","",'Risk Register'!AB11))</x:f>
        <x:v>46298</x:v>
      </x:c>
      <x:c r="O11" s="138" t="str">
        <x:f>IF(A11="","",IF('Risk Register'!AC11="","",'Risk Register'!AC11))</x:f>
      </x:c>
      <x:c r="P11" s="138" t="str">
        <x:f>IF(A11="","",'Risk Register'!AD11)</x:f>
        <x:v>OK</x:v>
      </x:c>
      <x:c r="Q11" s="138" t="str">
        <x:f>IF(A11="","",'Risk Register'!AE11)</x:f>
        <x:v>Scenario documented</x:v>
      </x:c>
      <x:c r="R11" s="138" t="str">
        <x:f>IF(A11="","",'Risk Register'!AF11)</x:f>
        <x:v>GA-015, GA-016, GA-028</x:v>
      </x:c>
      <x:c r="S11" s="138" t="str">
        <x:f>IF(A11="","",'Risk Register'!AG11)</x:f>
        <x:v>Verify encryption on all in-scope laptops, restrict recovery keys and rehearse lost-device response; record and resolve exceptions.</x:v>
      </x:c>
      <x:c r="T11" s="138" t="str">
        <x:f>IF(A11="","",IF(NOT(ISNUMBER('Risk Register'!U11)),"Date needed",IF('Risk Register'!U11&lt;=0,"Date needed",IF('Risk Register'!T11="Closed","Closed",IF('Risk Register'!T11="Accepted",IF('Risk Register'!U11&lt;Methodology!$B$25,"Acceptance review due","Accepted - review scheduled"),IF('Risk Register'!U11&lt;Methodology!$B$25,"Overdue",IF('Risk Register'!U11&lt;=Methodology!$B$25+30,"Due within 30 days","Scheduled")))))))</x:f>
        <x:v>Overdue</x:v>
      </x:c>
    </x:row>
    <x:row r="12" ht="110" customHeight="1">
      <x:c r="A12" s="138" t="str">
        <x:f>IF('Risk Register'!A12="","",'Risk Register'!A12)</x:f>
        <x:v>R-008</x:v>
      </x:c>
      <x:c r="B12" s="138" t="str">
        <x:f>IF(A12="","",'Risk Register'!D12)</x:f>
        <x:v>Known vulnerabilities could remain exploitable longer than the business can tolerate.</x:v>
      </x:c>
      <x:c r="C12" s="138" t="str">
        <x:f>IF(A12="","",'Risk Register'!P12)</x:f>
        <x:v>High</x:v>
      </x:c>
      <x:c r="D12" s="138" t="str">
        <x:f>IF(A12="","",'Risk Register'!Q12)</x:f>
        <x:v>Mitigate</x:v>
      </x:c>
      <x:c r="E12" s="138" t="str">
        <x:f>IF(A12="","",'Risk Register'!S12)</x:f>
        <x:v>Security Manager</x:v>
      </x:c>
      <x:c r="F12" s="138" t="str">
        <x:f>IF(A12="","",'Risk Register'!T12)</x:f>
        <x:v>In Progress</x:v>
      </x:c>
      <x:c r="G12" s="187" t="n">
        <x:f>IF(A12="","",IF(ISNUMBER('Risk Register'!U12),IF('Risk Register'!U12&gt;0,'Risk Register'!U12,""),""))</x:f>
        <x:v>46302</x:v>
      </x:c>
      <x:c r="H12" s="138" t="n">
        <x:f>IF(A12="","",IF(OR(F12="Closed",F12="Accepted"),"",IF(ISNUMBER('Risk Register'!U12),IF('Risk Register'!U12&gt;0,'Risk Register'!U12-Methodology!$B$25,""),"")))</x:f>
        <x:v>4</x:v>
      </x:c>
      <x:c r="I12" s="138" t="str">
        <x:f>IF(A12="","",'Risk Register'!R12)</x:f>
        <x:v>Establish recurring scanning and remediation SLAs based on severity and exposure.</x:v>
      </x:c>
      <x:c r="J12" s="138" t="str">
        <x:f>IF(A12="","",'Risk Register'!X12)</x:f>
        <x:v>Fictional scenario. Evidence listed at right has not been collected; completion test is proposed.</x:v>
      </x:c>
      <x:c r="K12" s="138" t="str">
        <x:f>IF(A12="","",IF('Risk Register'!Y12="","",'Risk Register'!Y12))</x:f>
        <x:v>Unpatched vulnerabilities make exploitation likely (4) and could compromise production (5). Monthly patching lowers likelihood to 3, but an exposed critical flaw may remain exploitable between cycles. Impact stays 5.</x:v>
      </x:c>
      <x:c r="L12" s="138" t="str">
        <x:f>IF(A12="","",IF('Risk Register'!Z12="","",'Risk Register'!Z12))</x:f>
        <x:v>Scenario only</x:v>
      </x:c>
      <x:c r="M12" s="138" t="str">
        <x:f>IF(A12="","",IF('Risk Register'!AA12="","",'Risk Register'!AA12))</x:f>
        <x:v>Authenticated scan results, asset exposure, remediation tickets, SLAs and approved exceptions.</x:v>
      </x:c>
      <x:c r="N12" s="188" t="n">
        <x:f>IF(A12="","",IF('Risk Register'!AB12="","",'Risk Register'!AB12))</x:f>
        <x:v>46298</x:v>
      </x:c>
      <x:c r="O12" s="138" t="str">
        <x:f>IF(A12="","",IF('Risk Register'!AC12="","",'Risk Register'!AC12))</x:f>
      </x:c>
      <x:c r="P12" s="138" t="str">
        <x:f>IF(A12="","",'Risk Register'!AD12)</x:f>
        <x:v>OK</x:v>
      </x:c>
      <x:c r="Q12" s="138" t="str">
        <x:f>IF(A12="","",'Risk Register'!AE12)</x:f>
        <x:v>Scenario documented</x:v>
      </x:c>
      <x:c r="R12" s="138" t="str">
        <x:f>IF(A12="","",'Risk Register'!AF12)</x:f>
        <x:v>GA-010, GA-017</x:v>
      </x:c>
      <x:c r="S12" s="138" t="str">
        <x:f>IF(A12="","",'Risk Register'!AG12)</x:f>
        <x:v>Rescan affected assets after remediation; confirm high-risk items meet approved deadlines or have time-limited exceptions.</x:v>
      </x:c>
      <x:c r="T12" s="138" t="str">
        <x:f>IF(A12="","",IF(NOT(ISNUMBER('Risk Register'!U12)),"Date needed",IF('Risk Register'!U12&lt;=0,"Date needed",IF('Risk Register'!T12="Closed","Closed",IF('Risk Register'!T12="Accepted",IF('Risk Register'!U12&lt;Methodology!$B$25,"Acceptance review due","Accepted - review scheduled"),IF('Risk Register'!U12&lt;Methodology!$B$25,"Overdue",IF('Risk Register'!U12&lt;=Methodology!$B$25+30,"Due within 30 days","Scheduled")))))))</x:f>
        <x:v>Due within 30 days</x:v>
      </x:c>
    </x:row>
    <x:row r="13" ht="110" customHeight="1">
      <x:c r="A13" s="138" t="str">
        <x:f>IF('Risk Register'!A13="","",'Risk Register'!A13)</x:f>
        <x:v>R-009</x:v>
      </x:c>
      <x:c r="B13" s="138" t="str">
        <x:f>IF(A13="","",'Risk Register'!D13)</x:f>
        <x:v>A vulnerable third-party dependency could introduce an exploitable weakness into the SaaS application.</x:v>
      </x:c>
      <x:c r="C13" s="138" t="str">
        <x:f>IF(A13="","",'Risk Register'!P13)</x:f>
        <x:v>High</x:v>
      </x:c>
      <x:c r="D13" s="138" t="str">
        <x:f>IF(A13="","",'Risk Register'!Q13)</x:f>
        <x:v>Mitigate</x:v>
      </x:c>
      <x:c r="E13" s="138" t="str">
        <x:f>IF(A13="","",'Risk Register'!S13)</x:f>
        <x:v>Application Owner</x:v>
      </x:c>
      <x:c r="F13" s="138" t="str">
        <x:f>IF(A13="","",'Risk Register'!T13)</x:f>
        <x:v>Planned</x:v>
      </x:c>
      <x:c r="G13" s="187" t="n">
        <x:f>IF(A13="","",IF(ISNUMBER('Risk Register'!U13),IF('Risk Register'!U13&gt;0,'Risk Register'!U13,""),""))</x:f>
        <x:v>46332</x:v>
      </x:c>
      <x:c r="H13" s="138" t="n">
        <x:f>IF(A13="","",IF(OR(F13="Closed",F13="Accepted"),"",IF(ISNUMBER('Risk Register'!U13),IF('Risk Register'!U13&gt;0,'Risk Register'!U13-Methodology!$B$25,""),"")))</x:f>
        <x:v>34</x:v>
      </x:c>
      <x:c r="I13" s="138" t="str">
        <x:f>IF(A13="","",'Risk Register'!R13)</x:f>
        <x:v>Use software composition analysis and define dependency-update requirements.</x:v>
      </x:c>
      <x:c r="J13" s="138" t="str">
        <x:f>IF(A13="","",'Risk Register'!X13)</x:f>
        <x:v>Fictional scenario. Evidence listed at right has not been collected; completion test is proposed.</x:v>
      </x:c>
      <x:c r="K13" s="138" t="str">
        <x:f>IF(A13="","",IF('Risk Register'!Y13="","",'Risk Register'!Y13))</x:f>
        <x:v>Unreviewed dependencies make a vulnerable package likely (4), with major application impact (4). Package alerts and code review reduce likelihood to 3, but do not prove vulnerable builds are blocked.</x:v>
      </x:c>
      <x:c r="L13" s="138" t="str">
        <x:f>IF(A13="","",IF('Risk Register'!Z13="","",'Risk Register'!Z13))</x:f>
        <x:v>Scenario only</x:v>
      </x:c>
      <x:c r="M13" s="138" t="str">
        <x:f>IF(A13="","",IF('Risk Register'!AA13="","",'Risk Register'!AA13))</x:f>
        <x:v>Dependency inventory, software-composition scans, CI rules and remediation tickets.</x:v>
      </x:c>
      <x:c r="N13" s="188" t="n">
        <x:f>IF(A13="","",IF('Risk Register'!AB13="","",'Risk Register'!AB13))</x:f>
        <x:v>46298</x:v>
      </x:c>
      <x:c r="O13" s="138" t="str">
        <x:f>IF(A13="","",IF('Risk Register'!AC13="","",'Risk Register'!AC13))</x:f>
      </x:c>
      <x:c r="P13" s="138" t="str">
        <x:f>IF(A13="","",'Risk Register'!AD13)</x:f>
        <x:v>OK</x:v>
      </x:c>
      <x:c r="Q13" s="138" t="str">
        <x:f>IF(A13="","",'Risk Register'!AE13)</x:f>
        <x:v>Scenario documented</x:v>
      </x:c>
      <x:c r="R13" s="138" t="str">
        <x:f>IF(A13="","",'Risk Register'!AF13)</x:f>
        <x:v>GA-018</x:v>
      </x:c>
      <x:c r="S13" s="138" t="str">
        <x:f>IF(A13="","",'Risk Register'!AG13)</x:f>
        <x:v>Introduce an approved test dependency finding in a nonproduction pipeline; verify policy enforcement and rescan the fixed build.</x:v>
      </x:c>
      <x:c r="T13" s="138" t="str">
        <x:f>IF(A13="","",IF(NOT(ISNUMBER('Risk Register'!U13)),"Date needed",IF('Risk Register'!U13&lt;=0,"Date needed",IF('Risk Register'!T13="Closed","Closed",IF('Risk Register'!T13="Accepted",IF('Risk Register'!U13&lt;Methodology!$B$25,"Acceptance review due","Accepted - review scheduled"),IF('Risk Register'!U13&lt;Methodology!$B$25,"Overdue",IF('Risk Register'!U13&lt;=Methodology!$B$25+30,"Due within 30 days","Scheduled")))))))</x:f>
        <x:v>Scheduled</x:v>
      </x:c>
    </x:row>
    <x:row r="14" ht="110" customHeight="1">
      <x:c r="A14" s="138" t="str">
        <x:f>IF('Risk Register'!A14="","",'Risk Register'!A14)</x:f>
        <x:v>R-010</x:v>
      </x:c>
      <x:c r="B14" s="138" t="str">
        <x:f>IF(A14="","",'Risk Register'!D14)</x:f>
        <x:v>An internal user with excessive database access could view or modify restricted customer information.</x:v>
      </x:c>
      <x:c r="C14" s="138" t="str">
        <x:f>IF(A14="","",'Risk Register'!P14)</x:f>
        <x:v>High</x:v>
      </x:c>
      <x:c r="D14" s="138" t="str">
        <x:f>IF(A14="","",'Risk Register'!Q14)</x:f>
        <x:v>Mitigate</x:v>
      </x:c>
      <x:c r="E14" s="138" t="str">
        <x:f>IF(A14="","",'Risk Register'!S14)</x:f>
        <x:v>Data Owner</x:v>
      </x:c>
      <x:c r="F14" s="138" t="str">
        <x:f>IF(A14="","",'Risk Register'!T14)</x:f>
        <x:v>In Progress</x:v>
      </x:c>
      <x:c r="G14" s="187" t="n">
        <x:f>IF(A14="","",IF(ISNUMBER('Risk Register'!U14),IF('Risk Register'!U14&gt;0,'Risk Register'!U14,""),""))</x:f>
        <x:v>46317</x:v>
      </x:c>
      <x:c r="H14" s="138" t="n">
        <x:f>IF(A14="","",IF(OR(F14="Closed",F14="Accepted"),"",IF(ISNUMBER('Risk Register'!U14),IF('Risk Register'!U14&gt;0,'Risk Register'!U14-Methodology!$B$25,""),"")))</x:f>
        <x:v>19</x:v>
      </x:c>
      <x:c r="I14" s="138" t="str">
        <x:f>IF(A14="","",'Risk Register'!R14)</x:f>
        <x:v>Create least-privilege roles and conduct quarterly database access reviews.</x:v>
      </x:c>
      <x:c r="J14" s="138" t="str">
        <x:f>IF(A14="","",'Risk Register'!X14)</x:f>
        <x:v>Fictional scenario. Evidence listed at right has not been collected; completion test is proposed.</x:v>
      </x:c>
      <x:c r="K14" s="138" t="str">
        <x:f>IF(A14="","",IF('Risk Register'!Y14="","",'Risk Register'!Y14))</x:f>
        <x:v>Excess database access makes misuse possible (3), with severe customer-data impact (5). Authentication identifies users and logs help investigation, but neither removes excessive rights. No score reduction is justified.</x:v>
      </x:c>
      <x:c r="L14" s="138" t="str">
        <x:f>IF(A14="","",IF('Risk Register'!Z14="","",'Risk Register'!Z14))</x:f>
        <x:v>Scenario only</x:v>
      </x:c>
      <x:c r="M14" s="138" t="str">
        <x:f>IF(A14="","",IF('Risk Register'!AA14="","",'Risk Register'!AA14))</x:f>
        <x:v>Database grants, service accounts, privileged-user list, query audit records and owner approvals.</x:v>
      </x:c>
      <x:c r="N14" s="188" t="n">
        <x:f>IF(A14="","",IF('Risk Register'!AB14="","",'Risk Register'!AB14))</x:f>
        <x:v>46298</x:v>
      </x:c>
      <x:c r="O14" s="138" t="str">
        <x:f>IF(A14="","",IF('Risk Register'!AC14="","",'Risk Register'!AC14))</x:f>
      </x:c>
      <x:c r="P14" s="138" t="str">
        <x:f>IF(A14="","",'Risk Register'!AD14)</x:f>
        <x:v>OK</x:v>
      </x:c>
      <x:c r="Q14" s="138" t="str">
        <x:f>IF(A14="","",'Risk Register'!AE14)</x:f>
        <x:v>Scenario documented</x:v>
      </x:c>
      <x:c r="R14" s="138" t="str">
        <x:f>IF(A14="","",'Risk Register'!AF14)</x:f>
        <x:v>GA-013, GA-015, GA-021</x:v>
      </x:c>
      <x:c r="S14" s="138" t="str">
        <x:f>IF(A14="","",'Risk Register'!AG14)</x:f>
        <x:v>Review sensitive grants with the data owner; remove excess privileges and verify denied access for unauthorized roles.</x:v>
      </x:c>
      <x:c r="T14" s="138" t="str">
        <x:f>IF(A14="","",IF(NOT(ISNUMBER('Risk Register'!U14)),"Date needed",IF('Risk Register'!U14&lt;=0,"Date needed",IF('Risk Register'!T14="Closed","Closed",IF('Risk Register'!T14="Accepted",IF('Risk Register'!U14&lt;Methodology!$B$25,"Acceptance review due","Accepted - review scheduled"),IF('Risk Register'!U14&lt;Methodology!$B$25,"Overdue",IF('Risk Register'!U14&lt;=Methodology!$B$25+30,"Due within 30 days","Scheduled")))))))</x:f>
        <x:v>Due within 30 days</x:v>
      </x:c>
    </x:row>
    <x:row r="15" ht="110" customHeight="1">
      <x:c r="A15" s="138" t="str">
        <x:f>IF('Risk Register'!A15="","",'Risk Register'!A15)</x:f>
        <x:v>R-011</x:v>
      </x:c>
      <x:c r="B15" s="138" t="str">
        <x:f>IF(A15="","",'Risk Register'!D15)</x:f>
        <x:v>Employees could unintentionally share confidential files outside the company.</x:v>
      </x:c>
      <x:c r="C15" s="138" t="str">
        <x:f>IF(A15="","",'Risk Register'!P15)</x:f>
        <x:v>High</x:v>
      </x:c>
      <x:c r="D15" s="138" t="str">
        <x:f>IF(A15="","",'Risk Register'!Q15)</x:f>
        <x:v>Mitigate</x:v>
      </x:c>
      <x:c r="E15" s="138" t="str">
        <x:f>IF(A15="","",'Risk Register'!S15)</x:f>
        <x:v>Data Owner</x:v>
      </x:c>
      <x:c r="F15" s="138" t="str">
        <x:f>IF(A15="","",'Risk Register'!T15)</x:f>
        <x:v>Planned</x:v>
      </x:c>
      <x:c r="G15" s="187" t="n">
        <x:f>IF(A15="","",IF(ISNUMBER('Risk Register'!U15),IF('Risk Register'!U15&gt;0,'Risk Register'!U15,""),""))</x:f>
        <x:v>46317</x:v>
      </x:c>
      <x:c r="H15" s="138" t="n">
        <x:f>IF(A15="","",IF(OR(F15="Closed",F15="Accepted"),"",IF(ISNUMBER('Risk Register'!U15),IF('Risk Register'!U15&gt;0,'Risk Register'!U15-Methodology!$B$25,""),"")))</x:f>
        <x:v>19</x:v>
      </x:c>
      <x:c r="I15" s="138" t="str">
        <x:f>IF(A15="","",'Risk Register'!R15)</x:f>
        <x:v>Restrict anonymous links and implement sensitivity labels or DLP for sensitive data.</x:v>
      </x:c>
      <x:c r="J15" s="138" t="str">
        <x:f>IF(A15="","",'Risk Register'!X15)</x:f>
        <x:v>Fictional scenario. Evidence listed at right has not been collected; completion test is proposed.</x:v>
      </x:c>
      <x:c r="K15" s="138" t="str">
        <x:f>IF(A15="","",IF('Risk Register'!Y15="","",'Risk Register'!Y15))</x:f>
        <x:v>Permissive sharing makes disclosure likely (4) and major (4). Default sharing controls and training reduce likelihood to 3. Without tested classification or DLP restrictions, impact remains 4.</x:v>
      </x:c>
      <x:c r="L15" s="138" t="str">
        <x:f>IF(A15="","",IF('Risk Register'!Z15="","",'Risk Register'!Z15))</x:f>
        <x:v>Scenario only</x:v>
      </x:c>
      <x:c r="M15" s="138" t="str">
        <x:f>IF(A15="","",IF('Risk Register'!AA15="","",'Risk Register'!AA15))</x:f>
        <x:v>External/anonymous link report, sharing configuration, sensitive-data locations and label/DLP settings.</x:v>
      </x:c>
      <x:c r="N15" s="188" t="n">
        <x:f>IF(A15="","",IF('Risk Register'!AB15="","",'Risk Register'!AB15))</x:f>
        <x:v>46298</x:v>
      </x:c>
      <x:c r="O15" s="138" t="str">
        <x:f>IF(A15="","",IF('Risk Register'!AC15="","",'Risk Register'!AC15))</x:f>
      </x:c>
      <x:c r="P15" s="138" t="str">
        <x:f>IF(A15="","",'Risk Register'!AD15)</x:f>
        <x:v>OK</x:v>
      </x:c>
      <x:c r="Q15" s="138" t="str">
        <x:f>IF(A15="","",'Risk Register'!AE15)</x:f>
        <x:v>Scenario documented</x:v>
      </x:c>
      <x:c r="R15" s="138" t="str">
        <x:f>IF(A15="","",'Risk Register'!AF15)</x:f>
        <x:v>GA-015</x:v>
      </x:c>
      <x:c r="S15" s="138" t="str">
        <x:f>IF(A15="","",'Risk Register'!AG15)</x:f>
        <x:v>Block an unauthorized external share of synthetic sensitive data; test approved business sharing and record exceptions.</x:v>
      </x:c>
      <x:c r="T15" s="138" t="str">
        <x:f>IF(A15="","",IF(NOT(ISNUMBER('Risk Register'!U15)),"Date needed",IF('Risk Register'!U15&lt;=0,"Date needed",IF('Risk Register'!T15="Closed","Closed",IF('Risk Register'!T15="Accepted",IF('Risk Register'!U15&lt;Methodology!$B$25,"Acceptance review due","Accepted - review scheduled"),IF('Risk Register'!U15&lt;Methodology!$B$25,"Overdue",IF('Risk Register'!U15&lt;=Methodology!$B$25+30,"Due within 30 days","Scheduled")))))))</x:f>
        <x:v>Due within 30 days</x:v>
      </x:c>
    </x:row>
    <x:row r="16" ht="110" customHeight="1">
      <x:c r="A16" s="138" t="str">
        <x:f>IF('Risk Register'!A16="","",'Risk Register'!A16)</x:f>
        <x:v>R-012</x:v>
      </x:c>
      <x:c r="B16" s="138" t="str">
        <x:f>IF(A16="","",'Risk Register'!D16)</x:f>
        <x:v>A security incident at a key vendor could expose company data or interrupt a critical service.</x:v>
      </x:c>
      <x:c r="C16" s="138" t="str">
        <x:f>IF(A16="","",'Risk Register'!P16)</x:f>
        <x:v>Critical</x:v>
      </x:c>
      <x:c r="D16" s="138" t="str">
        <x:f>IF(A16="","",'Risk Register'!Q16)</x:f>
        <x:v>Mitigate</x:v>
      </x:c>
      <x:c r="E16" s="138" t="str">
        <x:f>IF(A16="","",'Risk Register'!S16)</x:f>
        <x:v>Vendor Manager</x:v>
      </x:c>
      <x:c r="F16" s="138" t="str">
        <x:f>IF(A16="","",'Risk Register'!T16)</x:f>
        <x:v>Open</x:v>
      </x:c>
      <x:c r="G16" s="187" t="n">
        <x:f>IF(A16="","",IF(ISNUMBER('Risk Register'!U16),IF('Risk Register'!U16&gt;0,'Risk Register'!U16,""),""))</x:f>
        <x:v>46302</x:v>
      </x:c>
      <x:c r="H16" s="138" t="n">
        <x:f>IF(A16="","",IF(OR(F16="Closed",F16="Accepted"),"",IF(ISNUMBER('Risk Register'!U16),IF('Risk Register'!U16&gt;0,'Risk Register'!U16-Methodology!$B$25,""),"")))</x:f>
        <x:v>4</x:v>
      </x:c>
      <x:c r="I16" s="138" t="str">
        <x:f>IF(A16="","",'Risk Register'!R16)</x:f>
        <x:v>Tier vendors, perform security reviews, and add security/notification clauses to contracts.</x:v>
      </x:c>
      <x:c r="J16" s="138" t="str">
        <x:f>IF(A16="","",'Risk Register'!X16)</x:f>
        <x:v>Fictional scenario. Evidence listed at right has not been collected; completion test is proposed.</x:v>
      </x:c>
      <x:c r="K16" s="138" t="str">
        <x:f>IF(A16="","",IF('Risk Register'!Y16="","",'Risk Register'!Y16))</x:f>
        <x:v>Critical suppliers can expose data or interrupt service, giving likelihood 4 and impact 5 in this scenario. General contracts and procurement checks do not demonstrate cyber due diligence or resilience. Residual scores remain unchanged.</x:v>
      </x:c>
      <x:c r="L16" s="138" t="str">
        <x:f>IF(A16="","",IF('Risk Register'!Z16="","",'Risk Register'!Z16))</x:f>
        <x:v>Scenario only</x:v>
      </x:c>
      <x:c r="M16" s="138" t="str">
        <x:f>IF(A16="","",IF('Risk Register'!AA16="","",'Risk Register'!AA16))</x:f>
        <x:v>Critical-vendor inventory, service dependencies, security assessments, contractual notification terms and continuity evidence.</x:v>
      </x:c>
      <x:c r="N16" s="188" t="n">
        <x:f>IF(A16="","",IF('Risk Register'!AB16="","",'Risk Register'!AB16))</x:f>
        <x:v>46298</x:v>
      </x:c>
      <x:c r="O16" s="138" t="str">
        <x:f>IF(A16="","",IF('Risk Register'!AC16="","",'Risk Register'!AC16))</x:f>
      </x:c>
      <x:c r="P16" s="138" t="str">
        <x:f>IF(A16="","",'Risk Register'!AD16)</x:f>
        <x:v>OK</x:v>
      </x:c>
      <x:c r="Q16" s="138" t="str">
        <x:f>IF(A16="","",'Risk Register'!AE16)</x:f>
        <x:v>Scenario documented</x:v>
      </x:c>
      <x:c r="R16" s="138" t="str">
        <x:f>IF(A16="","",'Risk Register'!AF16)</x:f>
        <x:v>GA-001, GA-006, GA-029</x:v>
      </x:c>
      <x:c r="S16" s="138" t="str">
        <x:f>IF(A16="","",'Risk Register'!AG16)</x:f>
        <x:v>Tier critical suppliers, resolve assessment findings and confirm security/notification obligations plus a documented continuity option.</x:v>
      </x:c>
      <x:c r="T16" s="138" t="str">
        <x:f>IF(A16="","",IF(NOT(ISNUMBER('Risk Register'!U16)),"Date needed",IF('Risk Register'!U16&lt;=0,"Date needed",IF('Risk Register'!T16="Closed","Closed",IF('Risk Register'!T16="Accepted",IF('Risk Register'!U16&lt;Methodology!$B$25,"Acceptance review due","Accepted - review scheduled"),IF('Risk Register'!U16&lt;Methodology!$B$25,"Overdue",IF('Risk Register'!U16&lt;=Methodology!$B$25+30,"Due within 30 days","Scheduled")))))))</x:f>
        <x:v>Due within 30 days</x:v>
      </x:c>
    </x:row>
    <x:row r="17" ht="110" customHeight="1">
      <x:c r="A17" s="138" t="str">
        <x:f>IF('Risk Register'!A17="","",'Risk Register'!A17)</x:f>
        <x:v>R-013</x:v>
      </x:c>
      <x:c r="B17" s="138" t="str">
        <x:f>IF(A17="","",'Risk Register'!D17)</x:f>
        <x:v>Unapproved SaaS services could process company data without security review.</x:v>
      </x:c>
      <x:c r="C17" s="138" t="str">
        <x:f>IF(A17="","",'Risk Register'!P17)</x:f>
        <x:v>High</x:v>
      </x:c>
      <x:c r="D17" s="138" t="str">
        <x:f>IF(A17="","",'Risk Register'!Q17)</x:f>
        <x:v>Mitigate</x:v>
      </x:c>
      <x:c r="E17" s="138" t="str">
        <x:f>IF(A17="","",'Risk Register'!S17)</x:f>
        <x:v>Vendor Manager</x:v>
      </x:c>
      <x:c r="F17" s="138" t="str">
        <x:f>IF(A17="","",'Risk Register'!T17)</x:f>
        <x:v>Planned</x:v>
      </x:c>
      <x:c r="G17" s="187" t="n">
        <x:f>IF(A17="","",IF(ISNUMBER('Risk Register'!U17),IF('Risk Register'!U17&gt;0,'Risk Register'!U17,""),""))</x:f>
        <x:v>46332</x:v>
      </x:c>
      <x:c r="H17" s="138" t="n">
        <x:f>IF(A17="","",IF(OR(F17="Closed",F17="Accepted"),"",IF(ISNUMBER('Risk Register'!U17),IF('Risk Register'!U17&gt;0,'Risk Register'!U17-Methodology!$B$25,""),"")))</x:f>
        <x:v>34</x:v>
      </x:c>
      <x:c r="I17" s="138" t="str">
        <x:f>IF(A17="","",'Risk Register'!R17)</x:f>
        <x:v>Create a vendor/SaaS inventory and approval process.</x:v>
      </x:c>
      <x:c r="J17" s="138" t="str">
        <x:f>IF(A17="","",'Risk Register'!X17)</x:f>
        <x:v>Fictional scenario. Evidence listed at right has not been collected; completion test is proposed.</x:v>
      </x:c>
      <x:c r="K17" s="138" t="str">
        <x:f>IF(A17="","",IF('Risk Register'!Y17="","",'Risk Register'!Y17))</x:f>
        <x:v>Unapproved SaaS can process sensitive information, giving likelihood 3 and impact 4. Procurement records omit unsanctioned services, so they do not justify reducing this risk.</x:v>
      </x:c>
      <x:c r="L17" s="138" t="str">
        <x:f>IF(A17="","",IF('Risk Register'!Z17="","",'Risk Register'!Z17))</x:f>
        <x:v>Scenario only</x:v>
      </x:c>
      <x:c r="M17" s="138" t="str">
        <x:f>IF(A17="","",IF('Risk Register'!AA17="","",'Risk Register'!AA17))</x:f>
        <x:v>Procurement list, SSO application list, expense records, discovered SaaS usage and data owners.</x:v>
      </x:c>
      <x:c r="N17" s="188" t="n">
        <x:f>IF(A17="","",IF('Risk Register'!AB17="","",'Risk Register'!AB17))</x:f>
        <x:v>46298</x:v>
      </x:c>
      <x:c r="O17" s="138" t="str">
        <x:f>IF(A17="","",IF('Risk Register'!AC17="","",'Risk Register'!AC17))</x:f>
      </x:c>
      <x:c r="P17" s="138" t="str">
        <x:f>IF(A17="","",'Risk Register'!AD17)</x:f>
        <x:v>OK</x:v>
      </x:c>
      <x:c r="Q17" s="138" t="str">
        <x:f>IF(A17="","",'Risk Register'!AE17)</x:f>
        <x:v>Scenario documented</x:v>
      </x:c>
      <x:c r="R17" s="138" t="str">
        <x:f>IF(A17="","",'Risk Register'!AF17)</x:f>
        <x:v>GA-006, GA-008</x:v>
      </x:c>
      <x:c r="S17" s="138" t="str">
        <x:f>IF(A17="","",'Risk Register'!AG17)</x:f>
        <x:v>Reconcile discovered services to the approved inventory; assign owners and review or remove unapproved data-processing services.</x:v>
      </x:c>
      <x:c r="T17" s="138" t="str">
        <x:f>IF(A17="","",IF(NOT(ISNUMBER('Risk Register'!U17)),"Date needed",IF('Risk Register'!U17&lt;=0,"Date needed",IF('Risk Register'!T17="Closed","Closed",IF('Risk Register'!T17="Accepted",IF('Risk Register'!U17&lt;Methodology!$B$25,"Acceptance review due","Accepted - review scheduled"),IF('Risk Register'!U17&lt;Methodology!$B$25,"Overdue",IF('Risk Register'!U17&lt;=Methodology!$B$25+30,"Due within 30 days","Scheduled")))))))</x:f>
        <x:v>Scheduled</x:v>
      </x:c>
    </x:row>
    <x:row r="18" ht="110" customHeight="1">
      <x:c r="A18" s="138" t="str">
        <x:f>IF('Risk Register'!A18="","",'Risk Register'!A18)</x:f>
        <x:v>R-014</x:v>
      </x:c>
      <x:c r="B18" s="138" t="str">
        <x:f>IF(A18="","",'Risk Register'!D18)</x:f>
        <x:v>A compromise could remain undetected because security logs are fragmented across systems.</x:v>
      </x:c>
      <x:c r="C18" s="138" t="str">
        <x:f>IF(A18="","",'Risk Register'!P18)</x:f>
        <x:v>Critical</x:v>
      </x:c>
      <x:c r="D18" s="138" t="str">
        <x:f>IF(A18="","",'Risk Register'!Q18)</x:f>
        <x:v>Mitigate</x:v>
      </x:c>
      <x:c r="E18" s="138" t="str">
        <x:f>IF(A18="","",'Risk Register'!S18)</x:f>
        <x:v>Security Manager</x:v>
      </x:c>
      <x:c r="F18" s="138" t="str">
        <x:f>IF(A18="","",'Risk Register'!T18)</x:f>
        <x:v>Open</x:v>
      </x:c>
      <x:c r="G18" s="187" t="n">
        <x:f>IF(A18="","",IF(ISNUMBER('Risk Register'!U18),IF('Risk Register'!U18&gt;0,'Risk Register'!U18,""),""))</x:f>
        <x:v>46302</x:v>
      </x:c>
      <x:c r="H18" s="138" t="n">
        <x:f>IF(A18="","",IF(OR(F18="Closed",F18="Accepted"),"",IF(ISNUMBER('Risk Register'!U18),IF('Risk Register'!U18&gt;0,'Risk Register'!U18-Methodology!$B$25,""),"")))</x:f>
        <x:v>4</x:v>
      </x:c>
      <x:c r="I18" s="138" t="str">
        <x:f>IF(A18="","",'Risk Register'!R18)</x:f>
        <x:v>Centralize priority log sources and define minimum retention and alerting requirements.</x:v>
      </x:c>
      <x:c r="J18" s="138" t="str">
        <x:f>IF(A18="","",'Risk Register'!X18)</x:f>
        <x:v>Fictional scenario. Evidence listed at right has not been collected; completion test is proposed.</x:v>
      </x:c>
      <x:c r="K18" s="138" t="str">
        <x:f>IF(A18="","",IF('Risk Register'!Y18="","",'Risk Register'!Y18))</x:f>
        <x:v>Fragmented logs make missed attacker activity likely (4), with severe potential damage from delayed detection (5). Native logs exist but do not provide reliable cross-system monitoring. No reduction is assumed.</x:v>
      </x:c>
      <x:c r="L18" s="138" t="str">
        <x:f>IF(A18="","",IF('Risk Register'!Z18="","",'Risk Register'!Z18))</x:f>
        <x:v>Scenario only</x:v>
      </x:c>
      <x:c r="M18" s="138" t="str">
        <x:f>IF(A18="","",IF('Risk Register'!AA18="","",'Risk Register'!AA18))</x:f>
        <x:v>Log-source inventory, ingestion health, detection coverage, retention settings and alert tests.</x:v>
      </x:c>
      <x:c r="N18" s="188" t="n">
        <x:f>IF(A18="","",IF('Risk Register'!AB18="","",'Risk Register'!AB18))</x:f>
        <x:v>46298</x:v>
      </x:c>
      <x:c r="O18" s="138" t="str">
        <x:f>IF(A18="","",IF('Risk Register'!AC18="","",'Risk Register'!AC18))</x:f>
      </x:c>
      <x:c r="P18" s="138" t="str">
        <x:f>IF(A18="","",'Risk Register'!AD18)</x:f>
        <x:v>OK</x:v>
      </x:c>
      <x:c r="Q18" s="138" t="str">
        <x:f>IF(A18="","",'Risk Register'!AE18)</x:f>
        <x:v>Scenario documented</x:v>
      </x:c>
      <x:c r="R18" s="138" t="str">
        <x:f>IF(A18="","",'Risk Register'!AF18)</x:f>
        <x:v>GA-021, GA-022, GA-023, GA-031</x:v>
      </x:c>
      <x:c r="S18" s="138" t="str">
        <x:f>IF(A18="","",'Risk Register'!AG18)</x:f>
        <x:v>Generate authorized test events in each priority source; confirm arrival, searchable fields, alert routing and investigation access.</x:v>
      </x:c>
      <x:c r="T18" s="138" t="str">
        <x:f>IF(A18="","",IF(NOT(ISNUMBER('Risk Register'!U18)),"Date needed",IF('Risk Register'!U18&lt;=0,"Date needed",IF('Risk Register'!T18="Closed","Closed",IF('Risk Register'!T18="Accepted",IF('Risk Register'!U18&lt;Methodology!$B$25,"Acceptance review due","Accepted - review scheduled"),IF('Risk Register'!U18&lt;Methodology!$B$25,"Overdue",IF('Risk Register'!U18&lt;=Methodology!$B$25+30,"Due within 30 days","Scheduled")))))))</x:f>
        <x:v>Due within 30 days</x:v>
      </x:c>
    </x:row>
    <x:row r="19" ht="110" customHeight="1">
      <x:c r="A19" s="138" t="str">
        <x:f>IF('Risk Register'!A19="","",'Risk Register'!A19)</x:f>
        <x:v>R-015</x:v>
      </x:c>
      <x:c r="B19" s="138" t="str">
        <x:f>IF(A19="","",'Risk Register'!D19)</x:f>
        <x:v>A major cyber incident could be handled inconsistently because roles, escalation criteria, and communications are not fully documented.</x:v>
      </x:c>
      <x:c r="C19" s="138" t="str">
        <x:f>IF(A19="","",'Risk Register'!P19)</x:f>
        <x:v>Critical</x:v>
      </x:c>
      <x:c r="D19" s="138" t="str">
        <x:f>IF(A19="","",'Risk Register'!Q19)</x:f>
        <x:v>Mitigate</x:v>
      </x:c>
      <x:c r="E19" s="138" t="str">
        <x:f>IF(A19="","",'Risk Register'!S19)</x:f>
        <x:v>Security Manager</x:v>
      </x:c>
      <x:c r="F19" s="138" t="str">
        <x:f>IF(A19="","",'Risk Register'!T19)</x:f>
        <x:v>Open</x:v>
      </x:c>
      <x:c r="G19" s="187" t="n">
        <x:f>IF(A19="","",IF(ISNUMBER('Risk Register'!U19),IF('Risk Register'!U19&gt;0,'Risk Register'!U19,""),""))</x:f>
        <x:v>46317</x:v>
      </x:c>
      <x:c r="H19" s="138" t="n">
        <x:f>IF(A19="","",IF(OR(F19="Closed",F19="Accepted"),"",IF(ISNUMBER('Risk Register'!U19),IF('Risk Register'!U19&gt;0,'Risk Register'!U19-Methodology!$B$25,""),"")))</x:f>
        <x:v>19</x:v>
      </x:c>
      <x:c r="I19" s="138" t="str">
        <x:f>IF(A19="","",'Risk Register'!R19)</x:f>
        <x:v>Create an incident response plan and conduct a tabletop exercise.</x:v>
      </x:c>
      <x:c r="J19" s="138" t="str">
        <x:f>IF(A19="","",'Risk Register'!X19)</x:f>
        <x:v>Fictional scenario. Evidence listed at right has not been collected; completion test is proposed.</x:v>
      </x:c>
      <x:c r="K19" s="138" t="str">
        <x:f>IF(A19="","",IF('Risk Register'!Y19="","",'Risk Register'!Y19))</x:f>
        <x:v>A major incident could be mishandled because escalation and responsibilities are incomplete. Likelihood 4 describes that response failure, not incident frequency. Informal contacts do not reduce the modeled severe consequence (5).</x:v>
      </x:c>
      <x:c r="L19" s="138" t="str">
        <x:f>IF(A19="","",IF('Risk Register'!Z19="","",'Risk Register'!Z19))</x:f>
        <x:v>Scenario only</x:v>
      </x:c>
      <x:c r="M19" s="138" t="str">
        <x:f>IF(A19="","",IF('Risk Register'!AA19="","",'Risk Register'!AA19))</x:f>
        <x:v>Response plan, role roster, severity criteria, call tree, approval record and exercise notes.</x:v>
      </x:c>
      <x:c r="N19" s="188" t="n">
        <x:f>IF(A19="","",IF('Risk Register'!AB19="","",'Risk Register'!AB19))</x:f>
        <x:v>46298</x:v>
      </x:c>
      <x:c r="O19" s="138" t="str">
        <x:f>IF(A19="","",IF('Risk Register'!AC19="","",'Risk Register'!AC19))</x:f>
      </x:c>
      <x:c r="P19" s="138" t="str">
        <x:f>IF(A19="","",'Risk Register'!AD19)</x:f>
        <x:v>OK</x:v>
      </x:c>
      <x:c r="Q19" s="138" t="str">
        <x:f>IF(A19="","",'Risk Register'!AE19)</x:f>
        <x:v>Scenario documented</x:v>
      </x:c>
      <x:c r="R19" s="138" t="str">
        <x:f>IF(A19="","",'Risk Register'!AF19)</x:f>
        <x:v>GA-025, GA-026, GA-027, GA-028, GA-031</x:v>
      </x:c>
      <x:c r="S19" s="138" t="str">
        <x:f>IF(A19="","",'Risk Register'!AG19)</x:f>
        <x:v>Run a tabletop with a timed escalation and decision log; assign corrective actions and verify the most important fixes.</x:v>
      </x:c>
      <x:c r="T19" s="138" t="str">
        <x:f>IF(A19="","",IF(NOT(ISNUMBER('Risk Register'!U19)),"Date needed",IF('Risk Register'!U19&lt;=0,"Date needed",IF('Risk Register'!T19="Closed","Closed",IF('Risk Register'!T19="Accepted",IF('Risk Register'!U19&lt;Methodology!$B$25,"Acceptance review due","Accepted - review scheduled"),IF('Risk Register'!U19&lt;Methodology!$B$25,"Overdue",IF('Risk Register'!U19&lt;=Methodology!$B$25+30,"Due within 30 days","Scheduled")))))))</x:f>
        <x:v>Due within 30 days</x:v>
      </x:c>
    </x:row>
    <x:row r="20" ht="110" customHeight="1">
      <x:c r="A20" s="138" t="str">
        <x:f>IF('Risk Register'!A20="","",'Risk Register'!A20)</x:f>
        <x:v>R-016</x:v>
      </x:c>
      <x:c r="B20" s="138" t="str">
        <x:f>IF(A20="","",'Risk Register'!D20)</x:f>
        <x:v>Ransomware could affect production data and reachable backups, limiting the company’s ability to recover.</x:v>
      </x:c>
      <x:c r="C20" s="138" t="str">
        <x:f>IF(A20="","",'Risk Register'!P20)</x:f>
        <x:v>Critical</x:v>
      </x:c>
      <x:c r="D20" s="138" t="str">
        <x:f>IF(A20="","",'Risk Register'!Q20)</x:f>
        <x:v>Mitigate</x:v>
      </x:c>
      <x:c r="E20" s="138" t="str">
        <x:f>IF(A20="","",'Risk Register'!S20)</x:f>
        <x:v>Operations Manager</x:v>
      </x:c>
      <x:c r="F20" s="138" t="str">
        <x:f>IF(A20="","",'Risk Register'!T20)</x:f>
        <x:v>In Progress</x:v>
      </x:c>
      <x:c r="G20" s="187" t="n">
        <x:f>IF(A20="","",IF(ISNUMBER('Risk Register'!U20),IF('Risk Register'!U20&gt;0,'Risk Register'!U20,""),""))</x:f>
        <x:v>46302</x:v>
      </x:c>
      <x:c r="H20" s="138" t="n">
        <x:f>IF(A20="","",IF(OR(F20="Closed",F20="Accepted"),"",IF(ISNUMBER('Risk Register'!U20),IF('Risk Register'!U20&gt;0,'Risk Register'!U20-Methodology!$B$25,""),"")))</x:f>
        <x:v>4</x:v>
      </x:c>
      <x:c r="I20" s="138" t="str">
        <x:f>IF(A20="","",'Risk Register'!R20)</x:f>
        <x:v>Maintain immutable/offline copies and test restoration on a recurring schedule.</x:v>
      </x:c>
      <x:c r="J20" s="138" t="str">
        <x:f>IF(A20="","",'Risk Register'!X20)</x:f>
        <x:v>Fictional scenario. Evidence listed at right has not been collected; completion test is proposed.</x:v>
      </x:c>
      <x:c r="K20" s="138" t="str">
        <x:f>IF(A20="","",IF('Risk Register'!Y20="","",'Risk Register'!Y20))</x:f>
        <x:v>The event is loss of recoverability during ransomware. Reachable backups can fail with production, so scheduled jobs alone do not justify reducing likelihood 4 or impact 5. Isolation and restoration remain proposed controls.</x:v>
      </x:c>
      <x:c r="L20" s="138" t="str">
        <x:f>IF(A20="","",IF('Risk Register'!Z20="","",'Risk Register'!Z20))</x:f>
        <x:v>Scenario only</x:v>
      </x:c>
      <x:c r="M20" s="138" t="str">
        <x:f>IF(A20="","",IF('Risk Register'!AA20="","",'Risk Register'!AA20))</x:f>
        <x:v>Backup job reports, immutability settings, access separation, offline-copy records and restoration results.</x:v>
      </x:c>
      <x:c r="N20" s="188" t="n">
        <x:f>IF(A20="","",IF('Risk Register'!AB20="","",'Risk Register'!AB20))</x:f>
        <x:v>46298</x:v>
      </x:c>
      <x:c r="O20" s="138" t="str">
        <x:f>IF(A20="","",IF('Risk Register'!AC20="","",'Risk Register'!AC20))</x:f>
      </x:c>
      <x:c r="P20" s="138" t="str">
        <x:f>IF(A20="","",'Risk Register'!AD20)</x:f>
        <x:v>OK</x:v>
      </x:c>
      <x:c r="Q20" s="138" t="str">
        <x:f>IF(A20="","",'Risk Register'!AE20)</x:f>
        <x:v>Scenario documented</x:v>
      </x:c>
      <x:c r="R20" s="138" t="str">
        <x:f>IF(A20="","",'Risk Register'!AF20)</x:f>
        <x:v>GA-019, GA-029</x:v>
      </x:c>
      <x:c r="S20" s="138" t="str">
        <x:f>IF(A20="","",'Risk Register'!AG20)</x:f>
        <x:v>Restore a representative service into an isolated environment; verify copy protection and measure data loss and recovery time.</x:v>
      </x:c>
      <x:c r="T20" s="138" t="str">
        <x:f>IF(A20="","",IF(NOT(ISNUMBER('Risk Register'!U20)),"Date needed",IF('Risk Register'!U20&lt;=0,"Date needed",IF('Risk Register'!T20="Closed","Closed",IF('Risk Register'!T20="Accepted",IF('Risk Register'!U20&lt;Methodology!$B$25,"Acceptance review due","Accepted - review scheduled"),IF('Risk Register'!U20&lt;Methodology!$B$25,"Overdue",IF('Risk Register'!U20&lt;=Methodology!$B$25+30,"Due within 30 days","Scheduled")))))))</x:f>
        <x:v>Due within 30 days</x:v>
      </x:c>
    </x:row>
    <x:row r="21" ht="110" customHeight="1">
      <x:c r="A21" s="138" t="str">
        <x:f>IF('Risk Register'!A21="","",'Risk Register'!A21)</x:f>
        <x:v>R-017</x:v>
      </x:c>
      <x:c r="B21" s="138" t="str">
        <x:f>IF(A21="","",'Risk Register'!D21)</x:f>
        <x:v>A cloud outage could make the customer service unavailable longer than expected.</x:v>
      </x:c>
      <x:c r="C21" s="138" t="str">
        <x:f>IF(A21="","",'Risk Register'!P21)</x:f>
        <x:v>High</x:v>
      </x:c>
      <x:c r="D21" s="138" t="str">
        <x:f>IF(A21="","",'Risk Register'!Q21)</x:f>
        <x:v>Mitigate</x:v>
      </x:c>
      <x:c r="E21" s="138" t="str">
        <x:f>IF(A21="","",'Risk Register'!S21)</x:f>
        <x:v>Operations Manager</x:v>
      </x:c>
      <x:c r="F21" s="138" t="str">
        <x:f>IF(A21="","",'Risk Register'!T21)</x:f>
        <x:v>Planned</x:v>
      </x:c>
      <x:c r="G21" s="187" t="n">
        <x:f>IF(A21="","",IF(ISNUMBER('Risk Register'!U21),IF('Risk Register'!U21&gt;0,'Risk Register'!U21,""),""))</x:f>
        <x:v>46362</x:v>
      </x:c>
      <x:c r="H21" s="138" t="n">
        <x:f>IF(A21="","",IF(OR(F21="Closed",F21="Accepted"),"",IF(ISNUMBER('Risk Register'!U21),IF('Risk Register'!U21&gt;0,'Risk Register'!U21-Methodology!$B$25,""),"")))</x:f>
        <x:v>64</x:v>
      </x:c>
      <x:c r="I21" s="138" t="str">
        <x:f>IF(A21="","",'Risk Register'!R21)</x:f>
        <x:v>Define business-approved RTO/RPO and test restoration/failover procedures.</x:v>
      </x:c>
      <x:c r="J21" s="138" t="str">
        <x:f>IF(A21="","",'Risk Register'!X21)</x:f>
        <x:v>Fictional scenario. Evidence listed at right has not been collected; completion test is proposed.</x:v>
      </x:c>
      <x:c r="K21" s="138" t="str">
        <x:f>IF(A21="","",IF('Risk Register'!Y21="","",'Risk Register'!Y21))</x:f>
        <x:v>Provider redundancy reduces outage likelihood from 3 to 2. Recovery time and data-loss objectives have not been validated, so severe business impact 5 remains plausible. Backups alone do not prove timely service restoration.</x:v>
      </x:c>
      <x:c r="L21" s="138" t="str">
        <x:f>IF(A21="","",IF('Risk Register'!Z21="","",'Risk Register'!Z21))</x:f>
        <x:v>Scenario only</x:v>
      </x:c>
      <x:c r="M21" s="138" t="str">
        <x:f>IF(A21="","",IF('Risk Register'!AA21="","",'Risk Register'!AA21))</x:f>
        <x:v>Dependency map, recovery procedures, provider architecture, business-approved RTO/RPO and test results.</x:v>
      </x:c>
      <x:c r="N21" s="188" t="n">
        <x:f>IF(A21="","",IF('Risk Register'!AB21="","",'Risk Register'!AB21))</x:f>
        <x:v>46298</x:v>
      </x:c>
      <x:c r="O21" s="138" t="str">
        <x:f>IF(A21="","",IF('Risk Register'!AC21="","",'Risk Register'!AC21))</x:f>
      </x:c>
      <x:c r="P21" s="138" t="str">
        <x:f>IF(A21="","",'Risk Register'!AD21)</x:f>
        <x:v>OK</x:v>
      </x:c>
      <x:c r="Q21" s="138" t="str">
        <x:f>IF(A21="","",'Risk Register'!AE21)</x:f>
        <x:v>Scenario documented</x:v>
      </x:c>
      <x:c r="R21" s="138" t="str">
        <x:f>IF(A21="","",'Risk Register'!AF21)</x:f>
        <x:v>GA-001, GA-019, GA-029, GA-030</x:v>
      </x:c>
      <x:c r="S21" s="138" t="str">
        <x:f>IF(A21="","",'Risk Register'!AG21)</x:f>
        <x:v>Exercise recovery of a critical service, including identity and dependencies; compare elapsed time and recovered data to approved RTO/RPO.</x:v>
      </x:c>
      <x:c r="T21" s="138" t="str">
        <x:f>IF(A21="","",IF(NOT(ISNUMBER('Risk Register'!U21)),"Date needed",IF('Risk Register'!U21&lt;=0,"Date needed",IF('Risk Register'!T21="Closed","Closed",IF('Risk Register'!T21="Accepted",IF('Risk Register'!U21&lt;Methodology!$B$25,"Acceptance review due","Accepted - review scheduled"),IF('Risk Register'!U21&lt;Methodology!$B$25,"Overdue",IF('Risk Register'!U21&lt;=Methodology!$B$25+30,"Due within 30 days","Scheduled")))))))</x:f>
        <x:v>Scheduled</x:v>
      </x:c>
    </x:row>
    <x:row r="22" ht="110" customHeight="1">
      <x:c r="A22" s="138" t="str">
        <x:f>IF('Risk Register'!A22="","",'Risk Register'!A22)</x:f>
        <x:v>R-018</x:v>
      </x:c>
      <x:c r="B22" s="138" t="str">
        <x:f>IF(A22="","",'Risk Register'!D22)</x:f>
        <x:v>A phishing message could capture employee credentials and lead to account compromise.</x:v>
      </x:c>
      <x:c r="C22" s="138" t="str">
        <x:f>IF(A22="","",'Risk Register'!P22)</x:f>
        <x:v>High</x:v>
      </x:c>
      <x:c r="D22" s="138" t="str">
        <x:f>IF(A22="","",'Risk Register'!Q22)</x:f>
        <x:v>Mitigate</x:v>
      </x:c>
      <x:c r="E22" s="138" t="str">
        <x:f>IF(A22="","",'Risk Register'!S22)</x:f>
        <x:v>HR Manager</x:v>
      </x:c>
      <x:c r="F22" s="138" t="str">
        <x:f>IF(A22="","",'Risk Register'!T22)</x:f>
        <x:v>Planned</x:v>
      </x:c>
      <x:c r="G22" s="187" t="n">
        <x:f>IF(A22="","",IF(ISNUMBER('Risk Register'!U22),IF('Risk Register'!U22&gt;0,'Risk Register'!U22,""),""))</x:f>
        <x:v>46332</x:v>
      </x:c>
      <x:c r="H22" s="138" t="n">
        <x:f>IF(A22="","",IF(OR(F22="Closed",F22="Accepted"),"",IF(ISNUMBER('Risk Register'!U22),IF('Risk Register'!U22&gt;0,'Risk Register'!U22-Methodology!$B$25,""),"")))</x:f>
        <x:v>34</x:v>
      </x:c>
      <x:c r="I22" s="138" t="str">
        <x:f>IF(A22="","",'Risk Register'!R22)</x:f>
        <x:v>Run periodic phishing exercises and targeted role-based awareness training.</x:v>
      </x:c>
      <x:c r="J22" s="138" t="str">
        <x:f>IF(A22="","",'Risk Register'!X22)</x:f>
        <x:v>Fictional scenario. Evidence listed at right has not been collected; completion test is proposed.</x:v>
      </x:c>
      <x:c r="K22" s="138" t="str">
        <x:f>IF(A22="","",IF('Risk Register'!Y22="","",'Risk Register'!Y22))</x:f>
        <x:v>Credential phishing is likely (4) and could materially disrupt operations (4). Email filtering and annual training lower likelihood to 3. They do not limit damage after compromise, so impact remains 4.</x:v>
      </x:c>
      <x:c r="L22" s="138" t="str">
        <x:f>IF(A22="","",IF('Risk Register'!Z22="","",'Risk Register'!Z22))</x:f>
        <x:v>Scenario only</x:v>
      </x:c>
      <x:c r="M22" s="138" t="str">
        <x:f>IF(A22="","",IF('Risk Register'!AA22="","",'Risk Register'!AA22))</x:f>
        <x:v>Training completion, role-based content, phishing exercise results, reporting channel and follow-up actions.</x:v>
      </x:c>
      <x:c r="N22" s="188" t="n">
        <x:f>IF(A22="","",IF('Risk Register'!AB22="","",'Risk Register'!AB22))</x:f>
        <x:v>46298</x:v>
      </x:c>
      <x:c r="O22" s="138" t="str">
        <x:f>IF(A22="","",IF('Risk Register'!AC22="","",'Risk Register'!AC22))</x:f>
      </x:c>
      <x:c r="P22" s="138" t="str">
        <x:f>IF(A22="","",'Risk Register'!AD22)</x:f>
        <x:v>OK</x:v>
      </x:c>
      <x:c r="Q22" s="138" t="str">
        <x:f>IF(A22="","",'Risk Register'!AE22)</x:f>
        <x:v>Scenario documented</x:v>
      </x:c>
      <x:c r="R22" s="138" t="str">
        <x:f>IF(A22="","",'Risk Register'!AF22)</x:f>
        <x:v>GA-014, GA-022, GA-028</x:v>
      </x:c>
      <x:c r="S22" s="138" t="str">
        <x:f>IF(A22="","",'Risk Register'!AG22)</x:f>
        <x:v>Run an authorized awareness exercise and verify reporting and follow-up; compare results over time without claiming a causal reduction from one test.</x:v>
      </x:c>
      <x:c r="T22" s="138" t="str">
        <x:f>IF(A22="","",IF(NOT(ISNUMBER('Risk Register'!U22)),"Date needed",IF('Risk Register'!U22&lt;=0,"Date needed",IF('Risk Register'!T22="Closed","Closed",IF('Risk Register'!T22="Accepted",IF('Risk Register'!U22&lt;Methodology!$B$25,"Acceptance review due","Accepted - review scheduled"),IF('Risk Register'!U22&lt;Methodology!$B$25,"Overdue",IF('Risk Register'!U22&lt;=Methodology!$B$25+30,"Due within 30 days","Scheduled")))))))</x:f>
        <x:v>Scheduled</x:v>
      </x:c>
    </x:row>
    <x:row r="23" ht="110" customHeight="1">
      <x:c r="A23" s="138" t="str">
        <x:f>IF('Risk Register'!A23="","",'Risk Register'!A23)</x:f>
        <x:v>R-019</x:v>
      </x:c>
      <x:c r="B23" s="138" t="str">
        <x:f>IF(A23="","",'Risk Register'!D23)</x:f>
        <x:v>An attacker who compromises one endpoint could move laterally toward higher-value systems.</x:v>
      </x:c>
      <x:c r="C23" s="138" t="str">
        <x:f>IF(A23="","",'Risk Register'!P23)</x:f>
        <x:v>High</x:v>
      </x:c>
      <x:c r="D23" s="138" t="str">
        <x:f>IF(A23="","",'Risk Register'!Q23)</x:f>
        <x:v>Mitigate</x:v>
      </x:c>
      <x:c r="E23" s="138" t="str">
        <x:f>IF(A23="","",'Risk Register'!S23)</x:f>
        <x:v>IT Manager</x:v>
      </x:c>
      <x:c r="F23" s="138" t="str">
        <x:f>IF(A23="","",'Risk Register'!T23)</x:f>
        <x:v>Planned</x:v>
      </x:c>
      <x:c r="G23" s="187" t="n">
        <x:f>IF(A23="","",IF(ISNUMBER('Risk Register'!U23),IF('Risk Register'!U23&gt;0,'Risk Register'!U23,""),""))</x:f>
        <x:v>46362</x:v>
      </x:c>
      <x:c r="H23" s="138" t="n">
        <x:f>IF(A23="","",IF(OR(F23="Closed",F23="Accepted"),"",IF(ISNUMBER('Risk Register'!U23),IF('Risk Register'!U23&gt;0,'Risk Register'!U23-Methodology!$B$25,""),"")))</x:f>
        <x:v>64</x:v>
      </x:c>
      <x:c r="I23" s="138" t="str">
        <x:f>IF(A23="","",'Risk Register'!R23)</x:f>
        <x:v>Segment user, server, administrative, and security networks.</x:v>
      </x:c>
      <x:c r="J23" s="138" t="str">
        <x:f>IF(A23="","",'Risk Register'!X23)</x:f>
        <x:v>Fictional scenario. Evidence listed at right has not been collected; completion test is proposed.</x:v>
      </x:c>
      <x:c r="K23" s="138" t="str">
        <x:f>IF(A23="","",IF('Risk Register'!Y23="","",'Risk Register'!Y23))</x:f>
        <x:v>A compromised device may reach high-value systems, giving likelihood 3 and impact 5. Perimeter and endpoint firewalls do not establish internal segmentation. Residual scores stay unchanged until reachability is tested.</x:v>
      </x:c>
      <x:c r="L23" s="138" t="str">
        <x:f>IF(A23="","",IF('Risk Register'!Z23="","",'Risk Register'!Z23))</x:f>
        <x:v>Scenario only</x:v>
      </x:c>
      <x:c r="M23" s="138" t="str">
        <x:f>IF(A23="","",IF('Risk Register'!AA23="","",'Risk Register'!AA23))</x:f>
        <x:v>Network diagram, internal firewall rules, administrative paths and permitted-traffic matrix.</x:v>
      </x:c>
      <x:c r="N23" s="188" t="n">
        <x:f>IF(A23="","",IF('Risk Register'!AB23="","",'Risk Register'!AB23))</x:f>
        <x:v>46298</x:v>
      </x:c>
      <x:c r="O23" s="138" t="str">
        <x:f>IF(A23="","",IF('Risk Register'!AC23="","",'Risk Register'!AC23))</x:f>
      </x:c>
      <x:c r="P23" s="138" t="str">
        <x:f>IF(A23="","",'Risk Register'!AD23)</x:f>
        <x:v>OK</x:v>
      </x:c>
      <x:c r="Q23" s="138" t="str">
        <x:f>IF(A23="","",'Risk Register'!AE23)</x:f>
        <x:v>Scenario documented</x:v>
      </x:c>
      <x:c r="R23" s="138" t="str">
        <x:f>IF(A23="","",'Risk Register'!AF23)</x:f>
        <x:v>GA-020</x:v>
      </x:c>
      <x:c r="S23" s="138" t="str">
        <x:f>IF(A23="","",'Risk Register'!AG23)</x:f>
        <x:v>Test allowed and denied paths between user, server and admin zones; remove unnecessary reachability and approve exceptions.</x:v>
      </x:c>
      <x:c r="T23" s="138" t="str">
        <x:f>IF(A23="","",IF(NOT(ISNUMBER('Risk Register'!U23)),"Date needed",IF('Risk Register'!U23&lt;=0,"Date needed",IF('Risk Register'!T23="Closed","Closed",IF('Risk Register'!T23="Accepted",IF('Risk Register'!U23&lt;Methodology!$B$25,"Acceptance review due","Accepted - review scheduled"),IF('Risk Register'!U23&lt;Methodology!$B$25,"Overdue",IF('Risk Register'!U23&lt;=Methodology!$B$25+30,"Due within 30 days","Scheduled")))))))</x:f>
        <x:v>Scheduled</x:v>
      </x:c>
    </x:row>
    <x:row r="24" ht="110" customHeight="1">
      <x:c r="A24" s="138" t="str">
        <x:f>IF('Risk Register'!A24="","",'Risk Register'!A24)</x:f>
        <x:v>R-020</x:v>
      </x:c>
      <x:c r="B24" s="138" t="str">
        <x:f>IF(A24="","",'Risk Register'!D24)</x:f>
        <x:v>An unmanaged device could connect to the network without being identified quickly.</x:v>
      </x:c>
      <x:c r="C24" s="138" t="str">
        <x:f>IF(A24="","",'Risk Register'!P24)</x:f>
        <x:v>High</x:v>
      </x:c>
      <x:c r="D24" s="138" t="str">
        <x:f>IF(A24="","",'Risk Register'!Q24)</x:f>
        <x:v>Mitigate</x:v>
      </x:c>
      <x:c r="E24" s="138" t="str">
        <x:f>IF(A24="","",'Risk Register'!S24)</x:f>
        <x:v>IT Manager</x:v>
      </x:c>
      <x:c r="F24" s="138" t="str">
        <x:f>IF(A24="","",'Risk Register'!T24)</x:f>
        <x:v>Open</x:v>
      </x:c>
      <x:c r="G24" s="187" t="n">
        <x:f>IF(A24="","",IF(ISNUMBER('Risk Register'!U24),IF('Risk Register'!U24&gt;0,'Risk Register'!U24,""),""))</x:f>
        <x:v>46332</x:v>
      </x:c>
      <x:c r="H24" s="138" t="n">
        <x:f>IF(A24="","",IF(OR(F24="Closed",F24="Accepted"),"",IF(ISNUMBER('Risk Register'!U24),IF('Risk Register'!U24&gt;0,'Risk Register'!U24-Methodology!$B$25,""),"")))</x:f>
        <x:v>34</x:v>
      </x:c>
      <x:c r="I24" s="138" t="str">
        <x:f>IF(A24="","",'Risk Register'!R24)</x:f>
        <x:v>Automate asset discovery and create a process for investigating unknown devices.</x:v>
      </x:c>
      <x:c r="J24" s="138" t="str">
        <x:f>IF(A24="","",'Risk Register'!X24)</x:f>
        <x:v>Fictional scenario. Evidence listed at right has not been collected; completion test is proposed.</x:v>
      </x:c>
      <x:c r="K24" s="138" t="str">
        <x:f>IF(A24="","",IF('Risk Register'!Y24="","",'Risk Register'!Y24))</x:f>
        <x:v>Unknown devices may connect because discovery and admission controls are incomplete (3). They could provide a foothold with major impact (4). DHCP logs and a manual inventory are detective records without a demonstrated response, so no reduction is credited.</x:v>
      </x:c>
      <x:c r="L24" s="138" t="str">
        <x:f>IF(A24="","",IF('Risk Register'!Z24="","",'Risk Register'!Z24))</x:f>
        <x:v>Scenario only</x:v>
      </x:c>
      <x:c r="M24" s="138" t="str">
        <x:f>IF(A24="","",IF('Risk Register'!AA24="","",'Risk Register'!AA24))</x:f>
        <x:v>Asset inventory, DHCP/switch records, discovery results and unknown-device investigation tickets.</x:v>
      </x:c>
      <x:c r="N24" s="188" t="n">
        <x:f>IF(A24="","",IF('Risk Register'!AB24="","",'Risk Register'!AB24))</x:f>
        <x:v>46298</x:v>
      </x:c>
      <x:c r="O24" s="138" t="str">
        <x:f>IF(A24="","",IF('Risk Register'!AC24="","",'Risk Register'!AC24))</x:f>
      </x:c>
      <x:c r="P24" s="138" t="str">
        <x:f>IF(A24="","",'Risk Register'!AD24)</x:f>
        <x:v>OK</x:v>
      </x:c>
      <x:c r="Q24" s="138" t="str">
        <x:f>IF(A24="","",'Risk Register'!AE24)</x:f>
        <x:v>Scenario documented</x:v>
      </x:c>
      <x:c r="R24" s="138" t="str">
        <x:f>IF(A24="","",'Risk Register'!AF24)</x:f>
        <x:v>GA-007, GA-020</x:v>
      </x:c>
      <x:c r="S24" s="138" t="str">
        <x:f>IF(A24="","",'Risk Register'!AG24)</x:f>
        <x:v>Compare discovered devices against managed inventory; investigate unmatched devices and verify quarantine or removal procedures.</x:v>
      </x:c>
      <x:c r="T24" s="138" t="str">
        <x:f>IF(A24="","",IF(NOT(ISNUMBER('Risk Register'!U24)),"Date needed",IF('Risk Register'!U24&lt;=0,"Date needed",IF('Risk Register'!T24="Closed","Closed",IF('Risk Register'!T24="Accepted",IF('Risk Register'!U24&lt;Methodology!$B$25,"Acceptance review due","Accepted - review scheduled"),IF('Risk Register'!U24&lt;Methodology!$B$25,"Overdue",IF('Risk Register'!U24&lt;=Methodology!$B$25+30,"Due within 30 days","Scheduled")))))))</x:f>
        <x:v>Scheduled</x:v>
      </x:c>
    </x:row>
    <x:row r="25" ht="110" customHeight="1">
      <x:c r="A25" s="138" t="str">
        <x:f>IF('Risk Register'!A25="","",'Risk Register'!A25)</x:f>
        <x:v>R-021</x:v>
      </x:c>
      <x:c r="B25" s="138" t="str">
        <x:f>IF(A25="","",'Risk Register'!D25)</x:f>
        <x:v>Security practices could become inconsistent because key policies are missing or outdated.</x:v>
      </x:c>
      <x:c r="C25" s="138" t="str">
        <x:f>IF(A25="","",'Risk Register'!P25)</x:f>
        <x:v>High</x:v>
      </x:c>
      <x:c r="D25" s="138" t="str">
        <x:f>IF(A25="","",'Risk Register'!Q25)</x:f>
        <x:v>Mitigate</x:v>
      </x:c>
      <x:c r="E25" s="138" t="str">
        <x:f>IF(A25="","",'Risk Register'!S25)</x:f>
        <x:v>Compliance Manager</x:v>
      </x:c>
      <x:c r="F25" s="138" t="str">
        <x:f>IF(A25="","",'Risk Register'!T25)</x:f>
        <x:v>Open</x:v>
      </x:c>
      <x:c r="G25" s="187" t="n">
        <x:f>IF(A25="","",IF(ISNUMBER('Risk Register'!U25),IF('Risk Register'!U25&gt;0,'Risk Register'!U25,""),""))</x:f>
        <x:v>46332</x:v>
      </x:c>
      <x:c r="H25" s="138" t="n">
        <x:f>IF(A25="","",IF(OR(F25="Closed",F25="Accepted"),"",IF(ISNUMBER('Risk Register'!U25),IF('Risk Register'!U25&gt;0,'Risk Register'!U25-Methodology!$B$25,""),"")))</x:f>
        <x:v>34</x:v>
      </x:c>
      <x:c r="I25" s="138" t="str">
        <x:f>IF(A25="","",'Risk Register'!R25)</x:f>
        <x:v>Publish priority security policies and assign owners/review dates.</x:v>
      </x:c>
      <x:c r="J25" s="138" t="str">
        <x:f>IF(A25="","",'Risk Register'!X25)</x:f>
        <x:v>Fictional scenario. Evidence listed at right has not been collected; completion test is proposed.</x:v>
      </x:c>
      <x:c r="K25" s="138" t="str">
        <x:f>IF(A25="","",IF('Risk Register'!Y25="","",'Risk Register'!Y25))</x:f>
        <x:v>Missing policy ownership and reviews make inconsistent practices possible (3) with major operational impact (4). Informal procedures lack a repeatable lifecycle, so the residual estimate remains 3 by 4.</x:v>
      </x:c>
      <x:c r="L25" s="138" t="str">
        <x:f>IF(A25="","",IF('Risk Register'!Z25="","",'Risk Register'!Z25))</x:f>
        <x:v>Scenario only</x:v>
      </x:c>
      <x:c r="M25" s="138" t="str">
        <x:f>IF(A25="","",IF('Risk Register'!AA25="","",'Risk Register'!AA25))</x:f>
        <x:v>Policy inventory, approval dates, owners, review schedule, exception process and staff communication.</x:v>
      </x:c>
      <x:c r="N25" s="188" t="n">
        <x:f>IF(A25="","",IF('Risk Register'!AB25="","",'Risk Register'!AB25))</x:f>
        <x:v>46298</x:v>
      </x:c>
      <x:c r="O25" s="138" t="str">
        <x:f>IF(A25="","",IF('Risk Register'!AC25="","",'Risk Register'!AC25))</x:f>
      </x:c>
      <x:c r="P25" s="138" t="str">
        <x:f>IF(A25="","",'Risk Register'!AD25)</x:f>
        <x:v>OK</x:v>
      </x:c>
      <x:c r="Q25" s="138" t="str">
        <x:f>IF(A25="","",'Risk Register'!AE25)</x:f>
        <x:v>Scenario documented</x:v>
      </x:c>
      <x:c r="R25" s="138" t="str">
        <x:f>IF(A25="","",'Risk Register'!AF25)</x:f>
        <x:v>GA-003, GA-004</x:v>
      </x:c>
      <x:c r="S25" s="138" t="str">
        <x:f>IF(A25="","",'Risk Register'!AG25)</x:f>
        <x:v>Publish approved priority policies with named owners and next review dates; trace one exception through the documented process.</x:v>
      </x:c>
      <x:c r="T25" s="138" t="str">
        <x:f>IF(A25="","",IF(NOT(ISNUMBER('Risk Register'!U25)),"Date needed",IF('Risk Register'!U25&lt;=0,"Date needed",IF('Risk Register'!T25="Closed","Closed",IF('Risk Register'!T25="Accepted",IF('Risk Register'!U25&lt;Methodology!$B$25,"Acceptance review due","Accepted - review scheduled"),IF('Risk Register'!U25&lt;Methodology!$B$25,"Overdue",IF('Risk Register'!U25&lt;=Methodology!$B$25+30,"Due within 30 days","Scheduled")))))))</x:f>
        <x:v>Scheduled</x:v>
      </x:c>
    </x:row>
    <x:row r="26" ht="110" customHeight="1">
      <x:c r="A26" s="138" t="str">
        <x:f>IF('Risk Register'!A26="","",'Risk Register'!A26)</x:f>
        <x:v>R-022</x:v>
      </x:c>
      <x:c r="B26" s="138" t="str">
        <x:f>IF(A26="","",'Risk Register'!D26)</x:f>
        <x:v>Leadership may not have a consistent view of cyber exposure if risk reviews and reporting are ad hoc.</x:v>
      </x:c>
      <x:c r="C26" s="138" t="str">
        <x:f>IF(A26="","",'Risk Register'!P26)</x:f>
        <x:v>High</x:v>
      </x:c>
      <x:c r="D26" s="138" t="str">
        <x:f>IF(A26="","",'Risk Register'!Q26)</x:f>
        <x:v>Mitigate</x:v>
      </x:c>
      <x:c r="E26" s="138" t="str">
        <x:f>IF(A26="","",'Risk Register'!S26)</x:f>
        <x:v>CISO</x:v>
      </x:c>
      <x:c r="F26" s="138" t="str">
        <x:f>IF(A26="","",'Risk Register'!T26)</x:f>
        <x:v>Open</x:v>
      </x:c>
      <x:c r="G26" s="187" t="n">
        <x:f>IF(A26="","",IF(ISNUMBER('Risk Register'!U26),IF('Risk Register'!U26&gt;0,'Risk Register'!U26,""),""))</x:f>
        <x:v>46317</x:v>
      </x:c>
      <x:c r="H26" s="138" t="n">
        <x:f>IF(A26="","",IF(OR(F26="Closed",F26="Accepted"),"",IF(ISNUMBER('Risk Register'!U26),IF('Risk Register'!U26&gt;0,'Risk Register'!U26-Methodology!$B$25,""),"")))</x:f>
        <x:v>19</x:v>
      </x:c>
      <x:c r="I26" s="138" t="str">
        <x:f>IF(A26="","",'Risk Register'!R26)</x:f>
        <x:v>Establish quarterly risk reviews and document risk appetite/tolerance.</x:v>
      </x:c>
      <x:c r="J26" s="138" t="str">
        <x:f>IF(A26="","",'Risk Register'!X26)</x:f>
        <x:v>Fictional scenario. Evidence listed at right has not been collected; completion test is proposed.</x:v>
      </x:c>
      <x:c r="K26" s="138" t="str">
        <x:f>IF(A26="","",IF('Risk Register'!Y26="","",'Risk Register'!Y26))</x:f>
        <x:v>Ad hoc reporting can leave material exposure outside leadership decisions (3 by 4). Meetings without risk appetite, escalation criteria or a review record do not establish a reduction.</x:v>
      </x:c>
      <x:c r="L26" s="138" t="str">
        <x:f>IF(A26="","",IF('Risk Register'!Z26="","",'Risk Register'!Z26))</x:f>
        <x:v>Scenario only</x:v>
      </x:c>
      <x:c r="M26" s="138" t="str">
        <x:f>IF(A26="","",IF('Risk Register'!AA26="","",'Risk Register'!AA26))</x:f>
        <x:v>Risk methodology, appetite/tolerance statement, review calendar, leadership reports and decision records.</x:v>
      </x:c>
      <x:c r="N26" s="188" t="n">
        <x:f>IF(A26="","",IF('Risk Register'!AB26="","",'Risk Register'!AB26))</x:f>
        <x:v>46298</x:v>
      </x:c>
      <x:c r="O26" s="138" t="str">
        <x:f>IF(A26="","",IF('Risk Register'!AC26="","",'Risk Register'!AC26))</x:f>
      </x:c>
      <x:c r="P26" s="138" t="str">
        <x:f>IF(A26="","",'Risk Register'!AD26)</x:f>
        <x:v>OK</x:v>
      </x:c>
      <x:c r="Q26" s="138" t="str">
        <x:f>IF(A26="","",'Risk Register'!AE26)</x:f>
        <x:v>Scenario documented</x:v>
      </x:c>
      <x:c r="R26" s="138" t="str">
        <x:f>IF(A26="","",'Risk Register'!AF26)</x:f>
        <x:v>GA-002, GA-005, GA-009</x:v>
      </x:c>
      <x:c r="S26" s="138" t="str">
        <x:f>IF(A26="","",'Risk Register'!AG26)</x:f>
        <x:v>Conduct a documented review with owners; escalate items above the agreed threshold and record treatment or acceptance decisions.</x:v>
      </x:c>
      <x:c r="T26" s="138" t="str">
        <x:f>IF(A26="","",IF(NOT(ISNUMBER('Risk Register'!U26)),"Date needed",IF('Risk Register'!U26&lt;=0,"Date needed",IF('Risk Register'!T26="Closed","Closed",IF('Risk Register'!T26="Accepted",IF('Risk Register'!U26&lt;Methodology!$B$25,"Acceptance review due","Accepted - review scheduled"),IF('Risk Register'!U26&lt;Methodology!$B$25,"Overdue",IF('Risk Register'!U26&lt;=Methodology!$B$25+30,"Due within 30 days","Scheduled")))))))</x:f>
        <x:v>Due within 30 days</x:v>
      </x:c>
    </x:row>
    <x:row r="27" ht="110" customHeight="1">
      <x:c r="A27" s="138" t="str">
        <x:f>IF('Risk Register'!A27="","",'Risk Register'!A27)</x:f>
        <x:v>R-023</x:v>
      </x:c>
      <x:c r="B27" s="138" t="str">
        <x:f>IF(A27="","",'Risk Register'!D27)</x:f>
        <x:v>An exposed API key or token in source code could allow unauthorized access to cloud or application resources.</x:v>
      </x:c>
      <x:c r="C27" s="138" t="str">
        <x:f>IF(A27="","",'Risk Register'!P27)</x:f>
        <x:v>High</x:v>
      </x:c>
      <x:c r="D27" s="138" t="str">
        <x:f>IF(A27="","",'Risk Register'!Q27)</x:f>
        <x:v>Mitigate</x:v>
      </x:c>
      <x:c r="E27" s="138" t="str">
        <x:f>IF(A27="","",'Risk Register'!S27)</x:f>
        <x:v>Application Owner</x:v>
      </x:c>
      <x:c r="F27" s="138" t="str">
        <x:f>IF(A27="","",'Risk Register'!T27)</x:f>
        <x:v>In Progress</x:v>
      </x:c>
      <x:c r="G27" s="187" t="n">
        <x:f>IF(A27="","",IF(ISNUMBER('Risk Register'!U27),IF('Risk Register'!U27&gt;0,'Risk Register'!U27,""),""))</x:f>
        <x:v>46293</x:v>
      </x:c>
      <x:c r="H27" s="138" t="n">
        <x:f>IF(A27="","",IF(OR(F27="Closed",F27="Accepted"),"",IF(ISNUMBER('Risk Register'!U27),IF('Risk Register'!U27&gt;0,'Risk Register'!U27-Methodology!$B$25,""),"")))</x:f>
        <x:v>-5</x:v>
      </x:c>
      <x:c r="I27" s="138" t="str">
        <x:f>IF(A27="","",'Risk Register'!R27)</x:f>
        <x:v>Enable secret scanning, use a secrets manager, and rotate exposed credentials.</x:v>
      </x:c>
      <x:c r="J27" s="138" t="str">
        <x:f>IF(A27="","",'Risk Register'!X27)</x:f>
        <x:v>Fictional scenario. Evidence listed at right has not been collected; completion test is proposed.</x:v>
      </x:c>
      <x:c r="K27" s="138" t="str">
        <x:f>IF(A27="","",IF('Risk Register'!Y27="","",'Risk Register'!Y27))</x:f>
        <x:v>A committed secret could enable production access (impact 5). Repository permissions and manual review lower likelihood from 4 to 3 but cannot reliably detect every credential. Rotation and automated scanning are proposed.</x:v>
      </x:c>
      <x:c r="L27" s="138" t="str">
        <x:f>IF(A27="","",IF('Risk Register'!Z27="","",'Risk Register'!Z27))</x:f>
        <x:v>Scenario only</x:v>
      </x:c>
      <x:c r="M27" s="138" t="str">
        <x:f>IF(A27="","",IF('Risk Register'!AA27="","",'Risk Register'!AA27))</x:f>
        <x:v>Repository scan results, pipeline checks, secrets-manager configuration, key permissions and rotation records.</x:v>
      </x:c>
      <x:c r="N27" s="188" t="n">
        <x:f>IF(A27="","",IF('Risk Register'!AB27="","",'Risk Register'!AB27))</x:f>
        <x:v>46298</x:v>
      </x:c>
      <x:c r="O27" s="138" t="str">
        <x:f>IF(A27="","",IF('Risk Register'!AC27="","",'Risk Register'!AC27))</x:f>
      </x:c>
      <x:c r="P27" s="138" t="str">
        <x:f>IF(A27="","",'Risk Register'!AD27)</x:f>
        <x:v>OK</x:v>
      </x:c>
      <x:c r="Q27" s="138" t="str">
        <x:f>IF(A27="","",'Risk Register'!AE27)</x:f>
        <x:v>Scenario documented</x:v>
      </x:c>
      <x:c r="R27" s="138" t="str">
        <x:f>IF(A27="","",'Risk Register'!AF27)</x:f>
        <x:v>GA-018, GA-022, GA-028</x:v>
      </x:c>
      <x:c r="S27" s="138" t="str">
        <x:f>IF(A27="","",'Risk Register'!AG27)</x:f>
        <x:v>Use a dummy secret to test detection; rotate any confirmed exposure, scan history and verify workloads retrieve secrets securely.</x:v>
      </x:c>
      <x:c r="T27" s="138" t="str">
        <x:f>IF(A27="","",IF(NOT(ISNUMBER('Risk Register'!U27)),"Date needed",IF('Risk Register'!U27&lt;=0,"Date needed",IF('Risk Register'!T27="Closed","Closed",IF('Risk Register'!T27="Accepted",IF('Risk Register'!U27&lt;Methodology!$B$25,"Acceptance review due","Accepted - review scheduled"),IF('Risk Register'!U27&lt;Methodology!$B$25,"Overdue",IF('Risk Register'!U27&lt;=Methodology!$B$25+30,"Due within 30 days","Scheduled")))))))</x:f>
        <x:v>Overdue</x:v>
      </x:c>
    </x:row>
    <x:row r="28" ht="110" customHeight="1">
      <x:c r="A28" s="138" t="str">
        <x:f>IF('Risk Register'!A28="","",'Risk Register'!A28)</x:f>
        <x:v>R-024</x:v>
      </x:c>
      <x:c r="B28" s="138" t="str">
        <x:f>IF(A28="","",'Risk Register'!D28)</x:f>
        <x:v>Sensitive backup data could be exposed if backup administration is broader than production access.</x:v>
      </x:c>
      <x:c r="C28" s="138" t="str">
        <x:f>IF(A28="","",'Risk Register'!P28)</x:f>
        <x:v>High</x:v>
      </x:c>
      <x:c r="D28" s="138" t="str">
        <x:f>IF(A28="","",'Risk Register'!Q28)</x:f>
        <x:v>Mitigate</x:v>
      </x:c>
      <x:c r="E28" s="138" t="str">
        <x:f>IF(A28="","",'Risk Register'!S28)</x:f>
        <x:v>Operations Manager</x:v>
      </x:c>
      <x:c r="F28" s="138" t="str">
        <x:f>IF(A28="","",'Risk Register'!T28)</x:f>
        <x:v>Planned</x:v>
      </x:c>
      <x:c r="G28" s="187" t="n">
        <x:f>IF(A28="","",IF(ISNUMBER('Risk Register'!U28),IF('Risk Register'!U28&gt;0,'Risk Register'!U28,""),""))</x:f>
        <x:v>46317</x:v>
      </x:c>
      <x:c r="H28" s="138" t="n">
        <x:f>IF(A28="","",IF(OR(F28="Closed",F28="Accepted"),"",IF(ISNUMBER('Risk Register'!U28),IF('Risk Register'!U28&gt;0,'Risk Register'!U28-Methodology!$B$25,""),"")))</x:f>
        <x:v>19</x:v>
      </x:c>
      <x:c r="I28" s="138" t="str">
        <x:f>IF(A28="","",'Risk Register'!R28)</x:f>
        <x:v>Restrict backup admin privileges and encrypt backup data.</x:v>
      </x:c>
      <x:c r="J28" s="138" t="str">
        <x:f>IF(A28="","",'Risk Register'!X28)</x:f>
        <x:v>Fictional scenario. Evidence listed at right has not been collected; completion test is proposed.</x:v>
      </x:c>
      <x:c r="K28" s="138" t="str">
        <x:f>IF(A28="","",IF('Risk Register'!Y28="","",'Risk Register'!Y28))</x:f>
        <x:v>Broad backup administration permits access to sensitive backup data (3 by 5). Authentication alone does not enforce least privilege or encryption, so no residual reduction is justified.</x:v>
      </x:c>
      <x:c r="L28" s="138" t="str">
        <x:f>IF(A28="","",IF('Risk Register'!Z28="","",'Risk Register'!Z28))</x:f>
        <x:v>Scenario only</x:v>
      </x:c>
      <x:c r="M28" s="138" t="str">
        <x:f>IF(A28="","",IF('Risk Register'!AA28="","",'Risk Register'!AA28))</x:f>
        <x:v>Backup access list, role separation, encryption settings, key access and administrator audit records.</x:v>
      </x:c>
      <x:c r="N28" s="188" t="n">
        <x:f>IF(A28="","",IF('Risk Register'!AB28="","",'Risk Register'!AB28))</x:f>
        <x:v>46298</x:v>
      </x:c>
      <x:c r="O28" s="138" t="str">
        <x:f>IF(A28="","",IF('Risk Register'!AC28="","",'Risk Register'!AC28))</x:f>
      </x:c>
      <x:c r="P28" s="138" t="str">
        <x:f>IF(A28="","",'Risk Register'!AD28)</x:f>
        <x:v>OK</x:v>
      </x:c>
      <x:c r="Q28" s="138" t="str">
        <x:f>IF(A28="","",'Risk Register'!AE28)</x:f>
        <x:v>Scenario documented</x:v>
      </x:c>
      <x:c r="R28" s="138" t="str">
        <x:f>IF(A28="","",'Risk Register'!AF28)</x:f>
        <x:v>GA-013, GA-015, GA-019</x:v>
      </x:c>
      <x:c r="S28" s="138" t="str">
        <x:f>IF(A28="","",'Risk Register'!AG28)</x:f>
        <x:v>Remove unnecessary backup access; verify encryption and separation of backup roles from production administration.</x:v>
      </x:c>
      <x:c r="T28" s="138" t="str">
        <x:f>IF(A28="","",IF(NOT(ISNUMBER('Risk Register'!U28)),"Date needed",IF('Risk Register'!U28&lt;=0,"Date needed",IF('Risk Register'!T28="Closed","Closed",IF('Risk Register'!T28="Accepted",IF('Risk Register'!U28&lt;Methodology!$B$25,"Acceptance review due","Accepted - review scheduled"),IF('Risk Register'!U28&lt;Methodology!$B$25,"Overdue",IF('Risk Register'!U28&lt;=Methodology!$B$25+30,"Due within 30 days","Scheduled")))))))</x:f>
        <x:v>Due within 30 days</x:v>
      </x:c>
    </x:row>
    <x:row r="29" ht="110" customHeight="1">
      <x:c r="A29" s="138" t="str">
        <x:f>IF('Risk Register'!A29="","",'Risk Register'!A29)</x:f>
        <x:v>R-025</x:v>
      </x:c>
      <x:c r="B29" s="138" t="str">
        <x:f>IF(A29="","",'Risk Register'!D29)</x:f>
        <x:v>Unsupported software could remain installed and create vulnerabilities that cannot be reliably patched.</x:v>
      </x:c>
      <x:c r="C29" s="138" t="str">
        <x:f>IF(A29="","",'Risk Register'!P29)</x:f>
        <x:v>Medium</x:v>
      </x:c>
      <x:c r="D29" s="138" t="str">
        <x:f>IF(A29="","",'Risk Register'!Q29)</x:f>
        <x:v>Mitigate</x:v>
      </x:c>
      <x:c r="E29" s="138" t="str">
        <x:f>IF(A29="","",'Risk Register'!S29)</x:f>
        <x:v>IT Manager</x:v>
      </x:c>
      <x:c r="F29" s="138" t="str">
        <x:f>IF(A29="","",'Risk Register'!T29)</x:f>
        <x:v>Planned</x:v>
      </x:c>
      <x:c r="G29" s="187" t="n">
        <x:f>IF(A29="","",IF(ISNUMBER('Risk Register'!U29),IF('Risk Register'!U29&gt;0,'Risk Register'!U29,""),""))</x:f>
        <x:v>46347</x:v>
      </x:c>
      <x:c r="H29" s="138" t="n">
        <x:f>IF(A29="","",IF(OR(F29="Closed",F29="Accepted"),"",IF(ISNUMBER('Risk Register'!U29),IF('Risk Register'!U29&gt;0,'Risk Register'!U29-Methodology!$B$25,""),"")))</x:f>
        <x:v>49</x:v>
      </x:c>
      <x:c r="I29" s="138" t="str">
        <x:f>IF(A29="","",'Risk Register'!R29)</x:f>
        <x:v>Track installed software and remove or upgrade end-of-life products.</x:v>
      </x:c>
      <x:c r="J29" s="138" t="str">
        <x:f>IF(A29="","",'Risk Register'!X29)</x:f>
        <x:v>Fictional scenario. Evidence listed at right has not been collected; completion test is proposed.</x:v>
      </x:c>
      <x:c r="K29" s="138" t="str">
        <x:f>IF(A29="","",IF('Risk Register'!Y29="","",'Risk Register'!Y29))</x:f>
        <x:v>Unsupported software makes exploitation possible (3), with major impact (4). Endpoint management provides some visibility and lowers likelihood to 2. Missing lifecycle tracking leaves impact unchanged.</x:v>
      </x:c>
      <x:c r="L29" s="138" t="str">
        <x:f>IF(A29="","",IF('Risk Register'!Z29="","",'Risk Register'!Z29))</x:f>
        <x:v>Scenario only</x:v>
      </x:c>
      <x:c r="M29" s="138" t="str">
        <x:f>IF(A29="","",IF('Risk Register'!AA29="","",'Risk Register'!AA29))</x:f>
        <x:v>Installed-software export, vendor support dates, application owners and upgrade/removal tickets.</x:v>
      </x:c>
      <x:c r="N29" s="188" t="n">
        <x:f>IF(A29="","",IF('Risk Register'!AB29="","",'Risk Register'!AB29))</x:f>
        <x:v>46298</x:v>
      </x:c>
      <x:c r="O29" s="138" t="str">
        <x:f>IF(A29="","",IF('Risk Register'!AC29="","",'Risk Register'!AC29))</x:f>
      </x:c>
      <x:c r="P29" s="138" t="str">
        <x:f>IF(A29="","",'Risk Register'!AD29)</x:f>
        <x:v>OK</x:v>
      </x:c>
      <x:c r="Q29" s="138" t="str">
        <x:f>IF(A29="","",'Risk Register'!AE29)</x:f>
        <x:v>Scenario documented</x:v>
      </x:c>
      <x:c r="R29" s="138" t="str">
        <x:f>IF(A29="","",'Risk Register'!AF29)</x:f>
        <x:v>GA-008, GA-010, GA-017</x:v>
      </x:c>
      <x:c r="S29" s="138" t="str">
        <x:f>IF(A29="","",'Risk Register'!AG29)</x:f>
        <x:v>Reconcile software against support dates; remove or upgrade unsupported items and document expiring business exceptions.</x:v>
      </x:c>
      <x:c r="T29" s="138" t="str">
        <x:f>IF(A29="","",IF(NOT(ISNUMBER('Risk Register'!U29)),"Date needed",IF('Risk Register'!U29&lt;=0,"Date needed",IF('Risk Register'!T29="Closed","Closed",IF('Risk Register'!T29="Accepted",IF('Risk Register'!U29&lt;Methodology!$B$25,"Acceptance review due","Accepted - review scheduled"),IF('Risk Register'!U29&lt;Methodology!$B$25,"Overdue",IF('Risk Register'!U29&lt;=Methodology!$B$25+30,"Due within 30 days","Scheduled")))))))</x:f>
        <x:v>Scheduled</x:v>
      </x:c>
    </x:row>
    <x:row r="30" ht="110" customHeight="1">
      <x:c r="A30" s="138" t="str">
        <x:f>IF('Risk Register'!A30="","",'Risk Register'!A30)</x:f>
        <x:v>R-026</x:v>
      </x:c>
      <x:c r="B30" s="138" t="str">
        <x:f>IF(A30="","",'Risk Register'!D30)</x:f>
        <x:v>An attacker could delete local logs and reduce the evidence available for investigation.</x:v>
      </x:c>
      <x:c r="C30" s="138" t="str">
        <x:f>IF(A30="","",'Risk Register'!P30)</x:f>
        <x:v>High</x:v>
      </x:c>
      <x:c r="D30" s="138" t="str">
        <x:f>IF(A30="","",'Risk Register'!Q30)</x:f>
        <x:v>Mitigate</x:v>
      </x:c>
      <x:c r="E30" s="138" t="str">
        <x:f>IF(A30="","",'Risk Register'!S30)</x:f>
        <x:v>Security Manager</x:v>
      </x:c>
      <x:c r="F30" s="138" t="str">
        <x:f>IF(A30="","",'Risk Register'!T30)</x:f>
        <x:v>Planned</x:v>
      </x:c>
      <x:c r="G30" s="187" t="n">
        <x:f>IF(A30="","",IF(ISNUMBER('Risk Register'!U30),IF('Risk Register'!U30&gt;0,'Risk Register'!U30,""),""))</x:f>
        <x:v>46332</x:v>
      </x:c>
      <x:c r="H30" s="138" t="n">
        <x:f>IF(A30="","",IF(OR(F30="Closed",F30="Accepted"),"",IF(ISNUMBER('Risk Register'!U30),IF('Risk Register'!U30&gt;0,'Risk Register'!U30-Methodology!$B$25,""),"")))</x:f>
        <x:v>34</x:v>
      </x:c>
      <x:c r="I30" s="138" t="str">
        <x:f>IF(A30="","",'Risk Register'!R30)</x:f>
        <x:v>Forward critical logs to protected centralized storage and restrict log administration.</x:v>
      </x:c>
      <x:c r="J30" s="138" t="str">
        <x:f>IF(A30="","",'Risk Register'!X30)</x:f>
        <x:v>Fictional scenario. Evidence listed at right has not been collected; completion test is proposed.</x:v>
      </x:c>
      <x:c r="K30" s="138" t="str">
        <x:f>IF(A30="","",IF('Risk Register'!Y30="","",'Risk Register'!Y30))</x:f>
        <x:v>An attacker with local rights could remove investigation records (3 by 4). Native local logging provides no independent protected copy, so it receives no reduction for this specific event.</x:v>
      </x:c>
      <x:c r="L30" s="138" t="str">
        <x:f>IF(A30="","",IF('Risk Register'!Z30="","",'Risk Register'!Z30))</x:f>
        <x:v>Scenario only</x:v>
      </x:c>
      <x:c r="M30" s="138" t="str">
        <x:f>IF(A30="","",IF('Risk Register'!AA30="","",'Risk Register'!AA30))</x:f>
        <x:v>Log forwarding configuration, storage permissions, retention/immutability settings and administrator audit logs.</x:v>
      </x:c>
      <x:c r="N30" s="188" t="n">
        <x:f>IF(A30="","",IF('Risk Register'!AB30="","",'Risk Register'!AB30))</x:f>
        <x:v>46298</x:v>
      </x:c>
      <x:c r="O30" s="138" t="str">
        <x:f>IF(A30="","",IF('Risk Register'!AC30="","",'Risk Register'!AC30))</x:f>
      </x:c>
      <x:c r="P30" s="138" t="str">
        <x:f>IF(A30="","",'Risk Register'!AD30)</x:f>
        <x:v>OK</x:v>
      </x:c>
      <x:c r="Q30" s="138" t="str">
        <x:f>IF(A30="","",'Risk Register'!AE30)</x:f>
        <x:v>Scenario documented</x:v>
      </x:c>
      <x:c r="R30" s="138" t="str">
        <x:f>IF(A30="","",'Risk Register'!AF30)</x:f>
        <x:v>GA-021, GA-024, GA-031</x:v>
      </x:c>
      <x:c r="S30" s="138" t="str">
        <x:f>IF(A30="","",'Risk Register'!AG30)</x:f>
        <x:v>Confirm critical events survive deletion of a test local copy and unauthorized users cannot alter centrally retained records.</x:v>
      </x:c>
      <x:c r="T30" s="138" t="str">
        <x:f>IF(A30="","",IF(NOT(ISNUMBER('Risk Register'!U30)),"Date needed",IF('Risk Register'!U30&lt;=0,"Date needed",IF('Risk Register'!T30="Closed","Closed",IF('Risk Register'!T30="Accepted",IF('Risk Register'!U30&lt;Methodology!$B$25,"Acceptance review due","Accepted - review scheduled"),IF('Risk Register'!U30&lt;Methodology!$B$25,"Overdue",IF('Risk Register'!U30&lt;=Methodology!$B$25+30,"Due within 30 days","Scheduled")))))))</x:f>
        <x:v>Scheduled</x:v>
      </x:c>
    </x:row>
    <x:row r="31" ht="110" customHeight="1">
      <x:c r="A31" s="138" t="str">
        <x:f>IF('Risk Register'!A31="","",'Risk Register'!A31)</x:f>
        <x:v>R-027</x:v>
      </x:c>
      <x:c r="B31" s="138" t="str">
        <x:f>IF(A31="","",'Risk Register'!D31)</x:f>
        <x:v>Password reuse on applications outside SSO could increase account-compromise risk.</x:v>
      </x:c>
      <x:c r="C31" s="138" t="str">
        <x:f>IF(A31="","",'Risk Register'!P31)</x:f>
        <x:v>High</x:v>
      </x:c>
      <x:c r="D31" s="138" t="str">
        <x:f>IF(A31="","",'Risk Register'!Q31)</x:f>
        <x:v>Mitigate</x:v>
      </x:c>
      <x:c r="E31" s="138" t="str">
        <x:f>IF(A31="","",'Risk Register'!S31)</x:f>
        <x:v>IT Manager</x:v>
      </x:c>
      <x:c r="F31" s="138" t="str">
        <x:f>IF(A31="","",'Risk Register'!T31)</x:f>
        <x:v>Planned</x:v>
      </x:c>
      <x:c r="G31" s="187" t="n">
        <x:f>IF(A31="","",IF(ISNUMBER('Risk Register'!U31),IF('Risk Register'!U31&gt;0,'Risk Register'!U31,""),""))</x:f>
        <x:v>46452</x:v>
      </x:c>
      <x:c r="H31" s="138" t="n">
        <x:f>IF(A31="","",IF(OR(F31="Closed",F31="Accepted"),"",IF(ISNUMBER('Risk Register'!U31),IF('Risk Register'!U31&gt;0,'Risk Register'!U31-Methodology!$B$25,""),"")))</x:f>
        <x:v>154</x:v>
      </x:c>
      <x:c r="I31" s="138" t="str">
        <x:f>IF(A31="","",'Risk Register'!R31)</x:f>
        <x:v>Expand SSO/MFA coverage and provide an approved password manager.</x:v>
      </x:c>
      <x:c r="J31" s="138" t="str">
        <x:f>IF(A31="","",'Risk Register'!X31)</x:f>
        <x:v>Fictional scenario. Evidence listed at right has not been collected; completion test is proposed.</x:v>
      </x:c>
      <x:c r="K31" s="138" t="str">
        <x:f>IF(A31="","",IF('Risk Register'!Y31="","",'Risk Register'!Y31))</x:f>
        <x:v>A primary identity policy does not protect SaaS accounts outside its coverage. Credential stuffing remains possible (3) with major impact (4). No approved acceptance or effective compensating control is documented.</x:v>
      </x:c>
      <x:c r="L31" s="138" t="str">
        <x:f>IF(A31="","",IF('Risk Register'!Z31="","",'Risk Register'!Z31))</x:f>
        <x:v>Scenario only</x:v>
      </x:c>
      <x:c r="M31" s="138" t="str">
        <x:f>IF(A31="","",IF('Risk Register'!AA31="","",'Risk Register'!AA31))</x:f>
        <x:v>Non-SSO application list, MFA configuration, password-manager deployment and authentication exceptions.</x:v>
      </x:c>
      <x:c r="N31" s="188" t="n">
        <x:f>IF(A31="","",IF('Risk Register'!AB31="","",'Risk Register'!AB31))</x:f>
        <x:v>46298</x:v>
      </x:c>
      <x:c r="O31" s="138" t="str">
        <x:f>IF(A31="","",IF('Risk Register'!AC31="","",'Risk Register'!AC31))</x:f>
      </x:c>
      <x:c r="P31" s="138" t="str">
        <x:f>IF(A31="","",'Risk Register'!AD31)</x:f>
        <x:v>OK</x:v>
      </x:c>
      <x:c r="Q31" s="138" t="str">
        <x:f>IF(A31="","",'Risk Register'!AE31)</x:f>
        <x:v>Scenario documented</x:v>
      </x:c>
      <x:c r="R31" s="138" t="str">
        <x:f>IF(A31="","",'Risk Register'!AF31)</x:f>
        <x:v>GA-012, GA-013, GA-014</x:v>
      </x:c>
      <x:c r="S31" s="138" t="str">
        <x:f>IF(A31="","",'Risk Register'!AG31)</x:f>
        <x:v>Enforce SSO/MFA where supported; review remaining exceptions and test account recovery without weakening authentication.</x:v>
      </x:c>
      <x:c r="T31" s="138" t="str">
        <x:f>IF(A31="","",IF(NOT(ISNUMBER('Risk Register'!U31)),"Date needed",IF('Risk Register'!U31&lt;=0,"Date needed",IF('Risk Register'!T31="Closed","Closed",IF('Risk Register'!T31="Accepted",IF('Risk Register'!U31&lt;Methodology!$B$25,"Acceptance review due","Accepted - review scheduled"),IF('Risk Register'!U31&lt;Methodology!$B$25,"Overdue",IF('Risk Register'!U31&lt;=Methodology!$B$25+30,"Due within 30 days","Scheduled")))))))</x:f>
        <x:v>Scheduled</x:v>
      </x:c>
    </x:row>
    <x:row r="32" ht="110" customHeight="1">
      <x:c r="A32" s="138" t="str">
        <x:f>IF('Risk Register'!A32="","",'Risk Register'!A32)</x:f>
        <x:v>R-028</x:v>
      </x:c>
      <x:c r="B32" s="138" t="str">
        <x:f>IF(A32="","",'Risk Register'!D32)</x:f>
        <x:v>A supplier compromise could introduce malicious software or unauthorized privileged access into production.</x:v>
      </x:c>
      <x:c r="C32" s="138" t="str">
        <x:f>IF(A32="","",'Risk Register'!P32)</x:f>
        <x:v>High</x:v>
      </x:c>
      <x:c r="D32" s="138" t="str">
        <x:f>IF(A32="","",'Risk Register'!Q32)</x:f>
        <x:v>Mitigate</x:v>
      </x:c>
      <x:c r="E32" s="138" t="str">
        <x:f>IF(A32="","",'Risk Register'!S32)</x:f>
        <x:v>Vendor Manager</x:v>
      </x:c>
      <x:c r="F32" s="138" t="str">
        <x:f>IF(A32="","",'Risk Register'!T32)</x:f>
        <x:v>Planned</x:v>
      </x:c>
      <x:c r="G32" s="187" t="n">
        <x:f>IF(A32="","",IF(ISNUMBER('Risk Register'!U32),IF('Risk Register'!U32&gt;0,'Risk Register'!U32,""),""))</x:f>
        <x:v>46362</x:v>
      </x:c>
      <x:c r="H32" s="138" t="n">
        <x:f>IF(A32="","",IF(OR(F32="Closed",F32="Accepted"),"",IF(ISNUMBER('Risk Register'!U32),IF('Risk Register'!U32&gt;0,'Risk Register'!U32-Methodology!$B$25,""),"")))</x:f>
        <x:v>64</x:v>
      </x:c>
      <x:c r="I32" s="138" t="str">
        <x:f>IF(A32="","",'Risk Register'!R32)</x:f>
        <x:v>Limit vendor access, monitor privileged vendor activity, and validate software sources.</x:v>
      </x:c>
      <x:c r="J32" s="138" t="str">
        <x:f>IF(A32="","",'Risk Register'!X32)</x:f>
        <x:v>Fictional scenario. Evidence listed at right has not been collected; completion test is proposed.</x:v>
      </x:c>
      <x:c r="K32" s="138" t="str">
        <x:f>IF(A32="","",IF('Risk Register'!Y32="","",'Risk Register'!Y32))</x:f>
        <x:v>Supplier access or an untrusted software update could reach production (3 by 5). Contracts and logs do not themselves restrict access or validate provenance. The estimate stays unchanged until those controls are demonstrated.</x:v>
      </x:c>
      <x:c r="L32" s="138" t="str">
        <x:f>IF(A32="","",IF('Risk Register'!Z32="","",'Risk Register'!Z32))</x:f>
        <x:v>Scenario only</x:v>
      </x:c>
      <x:c r="M32" s="138" t="str">
        <x:f>IF(A32="","",IF('Risk Register'!AA32="","",'Risk Register'!AA32))</x:f>
        <x:v>Vendor privileged access, access windows, activity logs, approved package sources and integrity verification.</x:v>
      </x:c>
      <x:c r="N32" s="188" t="n">
        <x:f>IF(A32="","",IF('Risk Register'!AB32="","",'Risk Register'!AB32))</x:f>
        <x:v>46298</x:v>
      </x:c>
      <x:c r="O32" s="138" t="str">
        <x:f>IF(A32="","",IF('Risk Register'!AC32="","",'Risk Register'!AC32))</x:f>
      </x:c>
      <x:c r="P32" s="138" t="str">
        <x:f>IF(A32="","",'Risk Register'!AD32)</x:f>
        <x:v>OK</x:v>
      </x:c>
      <x:c r="Q32" s="138" t="str">
        <x:f>IF(A32="","",'Risk Register'!AE32)</x:f>
        <x:v>Scenario documented</x:v>
      </x:c>
      <x:c r="R32" s="138" t="str">
        <x:f>IF(A32="","",'Risk Register'!AF32)</x:f>
        <x:v>GA-006, GA-018, GA-022</x:v>
      </x:c>
      <x:c r="S32" s="138" t="str">
        <x:f>IF(A32="","",'Risk Register'!AG32)</x:f>
        <x:v>Test vendor access expiration and least privilege; verify production software originates from approved sources with integrity checks.</x:v>
      </x:c>
      <x:c r="T32" s="138" t="str">
        <x:f>IF(A32="","",IF(NOT(ISNUMBER('Risk Register'!U32)),"Date needed",IF('Risk Register'!U32&lt;=0,"Date needed",IF('Risk Register'!T32="Closed","Closed",IF('Risk Register'!T32="Accepted",IF('Risk Register'!U32&lt;Methodology!$B$25,"Acceptance review due","Accepted - review scheduled"),IF('Risk Register'!U32&lt;Methodology!$B$25,"Overdue",IF('Risk Register'!U32&lt;=Methodology!$B$25+30,"Due within 30 days","Scheduled")))))))</x:f>
        <x:v>Scheduled</x:v>
      </x:c>
    </x:row>
    <x:row r="33" ht="110" customHeight="1">
      <x:c r="A33" s="138" t="str">
        <x:f>IF('Risk Register'!A33="","",'Risk Register'!A33)</x:f>
        <x:v>R-029</x:v>
      </x:c>
      <x:c r="B33" s="138" t="str">
        <x:f>IF(A33="","",'Risk Register'!D33)</x:f>
        <x:v>A SaaS outage could temporarily interrupt email and collaboration.</x:v>
      </x:c>
      <x:c r="C33" s="138" t="str">
        <x:f>IF(A33="","",'Risk Register'!P33)</x:f>
        <x:v>Low</x:v>
      </x:c>
      <x:c r="D33" s="138" t="str">
        <x:f>IF(A33="","",'Risk Register'!Q33)</x:f>
        <x:v>Accept</x:v>
      </x:c>
      <x:c r="E33" s="138" t="str">
        <x:f>IF(A33="","",'Risk Register'!S33)</x:f>
        <x:v>Operations Manager</x:v>
      </x:c>
      <x:c r="F33" s="138" t="str">
        <x:f>IF(A33="","",'Risk Register'!T33)</x:f>
        <x:v>Open</x:v>
      </x:c>
      <x:c r="G33" s="187" t="n">
        <x:f>IF(A33="","",IF(ISNUMBER('Risk Register'!U33),IF('Risk Register'!U33&gt;0,'Risk Register'!U33,""),""))</x:f>
        <x:v>46452</x:v>
      </x:c>
      <x:c r="H33" s="138" t="n">
        <x:f>IF(A33="","",IF(OR(F33="Closed",F33="Accepted"),"",IF(ISNUMBER('Risk Register'!U33),IF('Risk Register'!U33&gt;0,'Risk Register'!U33-Methodology!$B$25,""),"")))</x:f>
        <x:v>154</x:v>
      </x:c>
      <x:c r="I33" s="138" t="str">
        <x:f>IF(A33="","",'Risk Register'!R33)</x:f>
        <x:v>Test alternate communications and seek a documented, time-limited risk acceptance from the authorized owner.</x:v>
      </x:c>
      <x:c r="J33" s="138" t="str">
        <x:f>IF(A33="","",'Risk Register'!X33)</x:f>
        <x:v>Fictional scenario. Evidence listed at right has not been collected; completion test is proposed.</x:v>
      </x:c>
      <x:c r="K33" s="138" t="str">
        <x:f>IF(A33="","",IF('Risk Register'!Y33="","",'Risk Register'!Y33))</x:f>
        <x:v>Provider availability reduces a collaboration outage from unlikely (2) to rare (1). Mobile communications provide an alternate path and reduce impact from major (4) to moderate (3). This supports proposing acceptance, not claiming approval.</x:v>
      </x:c>
      <x:c r="L33" s="138" t="str">
        <x:f>IF(A33="","",IF('Risk Register'!Z33="","",'Risk Register'!Z33))</x:f>
        <x:v>Scenario only</x:v>
      </x:c>
      <x:c r="M33" s="138" t="str">
        <x:f>IF(A33="","",IF('Risk Register'!AA33="","",'Risk Register'!AA33))</x:f>
        <x:v>Service dependency list, alternate contact channels, outage procedure and risk-owner acceptance record.</x:v>
      </x:c>
      <x:c r="N33" s="188" t="n">
        <x:f>IF(A33="","",IF('Risk Register'!AB33="","",'Risk Register'!AB33))</x:f>
        <x:v>46298</x:v>
      </x:c>
      <x:c r="O33" s="138" t="str">
        <x:f>IF(A33="","",IF('Risk Register'!AC33="","",'Risk Register'!AC33))</x:f>
      </x:c>
      <x:c r="P33" s="138" t="str">
        <x:f>IF(A33="","",'Risk Register'!AD33)</x:f>
        <x:v>OK</x:v>
      </x:c>
      <x:c r="Q33" s="138" t="str">
        <x:f>IF(A33="","",'Risk Register'!AE33)</x:f>
        <x:v>Scenario documented</x:v>
      </x:c>
      <x:c r="R33" s="138" t="str">
        <x:f>IF(A33="","",'Risk Register'!AF33)</x:f>
        <x:v>GA-029, GA-030</x:v>
      </x:c>
      <x:c r="S33" s="138" t="str">
        <x:f>IF(A33="","",'Risk Register'!AG33)</x:f>
        <x:v>Test the alternate communication method; obtain an authorized, dated acceptance with a review date and conditions for reopening.</x:v>
      </x:c>
      <x:c r="T33" s="138" t="str">
        <x:f>IF(A33="","",IF(NOT(ISNUMBER('Risk Register'!U33)),"Date needed",IF('Risk Register'!U33&lt;=0,"Date needed",IF('Risk Register'!T33="Closed","Closed",IF('Risk Register'!T33="Accepted",IF('Risk Register'!U33&lt;Methodology!$B$25,"Acceptance review due","Accepted - review scheduled"),IF('Risk Register'!U33&lt;Methodology!$B$25,"Overdue",IF('Risk Register'!U33&lt;=Methodology!$B$25+30,"Due within 30 days","Scheduled")))))))</x:f>
        <x:v>Scheduled</x:v>
      </x:c>
    </x:row>
    <x:row r="34" ht="110" customHeight="1">
      <x:c r="A34" s="138" t="str">
        <x:f>IF('Risk Register'!A34="","",'Risk Register'!A34)</x:f>
        <x:v>R-030</x:v>
      </x:c>
      <x:c r="B34" s="138" t="str">
        <x:f>IF(A34="","",'Risk Register'!D34)</x:f>
        <x:v>Security exceptions could remain open indefinitely without documented owners, compensating controls, or expiration dates.</x:v>
      </x:c>
      <x:c r="C34" s="138" t="str">
        <x:f>IF(A34="","",'Risk Register'!P34)</x:f>
        <x:v>High</x:v>
      </x:c>
      <x:c r="D34" s="138" t="str">
        <x:f>IF(A34="","",'Risk Register'!Q34)</x:f>
        <x:v>Mitigate</x:v>
      </x:c>
      <x:c r="E34" s="138" t="str">
        <x:f>IF(A34="","",'Risk Register'!S34)</x:f>
        <x:v>Compliance Manager</x:v>
      </x:c>
      <x:c r="F34" s="138" t="str">
        <x:f>IF(A34="","",'Risk Register'!T34)</x:f>
        <x:v>Open</x:v>
      </x:c>
      <x:c r="G34" s="187" t="n">
        <x:f>IF(A34="","",IF(ISNUMBER('Risk Register'!U34),IF('Risk Register'!U34&gt;0,'Risk Register'!U34,""),""))</x:f>
        <x:v>46332</x:v>
      </x:c>
      <x:c r="H34" s="138" t="n">
        <x:f>IF(A34="","",IF(OR(F34="Closed",F34="Accepted"),"",IF(ISNUMBER('Risk Register'!U34),IF('Risk Register'!U34&gt;0,'Risk Register'!U34-Methodology!$B$25,""),"")))</x:f>
        <x:v>34</x:v>
      </x:c>
      <x:c r="I34" s="138" t="str">
        <x:f>IF(A34="","",'Risk Register'!R34)</x:f>
        <x:v>Create an exception register with owner, justification, compensating control, approval, and expiration.</x:v>
      </x:c>
      <x:c r="J34" s="138" t="str">
        <x:f>IF(A34="","",'Risk Register'!X34)</x:f>
        <x:v>Fictional scenario. Evidence listed at right has not been collected; completion test is proposed.</x:v>
      </x:c>
      <x:c r="K34" s="138" t="str">
        <x:f>IF(A34="","",IF('Risk Register'!Y34="","",'Risk Register'!Y34))</x:f>
        <x:v>Exceptions without a register can outlive their justification (3 by 4). Email approvals do not enforce ownership, compensating controls or expiry. No reduction is credited.</x:v>
      </x:c>
      <x:c r="L34" s="138" t="str">
        <x:f>IF(A34="","",IF('Risk Register'!Z34="","",'Risk Register'!Z34))</x:f>
        <x:v>Scenario only</x:v>
      </x:c>
      <x:c r="M34" s="138" t="str">
        <x:f>IF(A34="","",IF('Risk Register'!AA34="","",'Risk Register'!AA34))</x:f>
        <x:v>Exception requests, approval emails, assigned owners, compensating controls and expiration dates.</x:v>
      </x:c>
      <x:c r="N34" s="188" t="n">
        <x:f>IF(A34="","",IF('Risk Register'!AB34="","",'Risk Register'!AB34))</x:f>
        <x:v>46298</x:v>
      </x:c>
      <x:c r="O34" s="138" t="str">
        <x:f>IF(A34="","",IF('Risk Register'!AC34="","",'Risk Register'!AC34))</x:f>
      </x:c>
      <x:c r="P34" s="138" t="str">
        <x:f>IF(A34="","",'Risk Register'!AD34)</x:f>
        <x:v>OK</x:v>
      </x:c>
      <x:c r="Q34" s="138" t="str">
        <x:f>IF(A34="","",'Risk Register'!AE34)</x:f>
        <x:v>Scenario documented</x:v>
      </x:c>
      <x:c r="R34" s="138" t="str">
        <x:f>IF(A34="","",'Risk Register'!AF34)</x:f>
        <x:v>GA-002, GA-004, GA-005</x:v>
      </x:c>
      <x:c r="S34" s="138" t="str">
        <x:f>IF(A34="","",'Risk Register'!AG34)</x:f>
        <x:v>Create the exception register and trace each active exception to an owner, approval, review date and compensating-control test.</x:v>
      </x:c>
      <x:c r="T34" s="138" t="str">
        <x:f>IF(A34="","",IF(NOT(ISNUMBER('Risk Register'!U34)),"Date needed",IF('Risk Register'!U34&lt;=0,"Date needed",IF('Risk Register'!T34="Closed","Closed",IF('Risk Register'!T34="Accepted",IF('Risk Register'!U34&lt;Methodology!$B$25,"Acceptance review due","Accepted - review scheduled"),IF('Risk Register'!U34&lt;Methodology!$B$25,"Overdue",IF('Risk Register'!U34&lt;=Methodology!$B$25+30,"Due within 30 days","Scheduled")))))))</x:f>
        <x:v>Scheduled</x:v>
      </x:c>
    </x:row>
    <x:row r="35" ht="110" customHeight="1">
      <x:c r="A35" s="138" t="str">
        <x:f>IF('Risk Register'!A35="","",'Risk Register'!A35)</x:f>
      </x:c>
      <x:c r="B35" s="138" t="str">
        <x:f>IF(A35="","",'Risk Register'!D35)</x:f>
      </x:c>
      <x:c r="C35" s="138" t="str">
        <x:f>IF(A35="","",'Risk Register'!P35)</x:f>
      </x:c>
      <x:c r="D35" s="138" t="str">
        <x:f>IF(A35="","",'Risk Register'!Q35)</x:f>
      </x:c>
      <x:c r="E35" s="138" t="str">
        <x:f>IF(A35="","",'Risk Register'!S35)</x:f>
      </x:c>
      <x:c r="F35" s="138" t="str">
        <x:f>IF(A35="","",'Risk Register'!T35)</x:f>
      </x:c>
      <x:c r="G35" s="187" t="str">
        <x:f>IF(A35="","",IF(ISNUMBER('Risk Register'!U35),IF('Risk Register'!U35&gt;0,'Risk Register'!U35,""),""))</x:f>
      </x:c>
      <x:c r="H35" s="138" t="str">
        <x:f>IF(A35="","",IF(OR(F35="Closed",F35="Accepted"),"",IF(ISNUMBER('Risk Register'!U35),IF('Risk Register'!U35&gt;0,'Risk Register'!U35-Methodology!$B$25,""),"")))</x:f>
      </x:c>
      <x:c r="I35" s="138" t="str">
        <x:f>IF(A35="","",'Risk Register'!R35)</x:f>
      </x:c>
      <x:c r="J35" s="138" t="str">
        <x:f>IF(A35="","",'Risk Register'!X35)</x:f>
      </x:c>
      <x:c r="K35" s="138" t="str">
        <x:f>IF(A35="","",IF('Risk Register'!Y35="","",'Risk Register'!Y35))</x:f>
      </x:c>
      <x:c r="L35" s="138" t="str">
        <x:f>IF(A35="","",IF('Risk Register'!Z35="","",'Risk Register'!Z35))</x:f>
      </x:c>
      <x:c r="M35" s="138" t="str">
        <x:f>IF(A35="","",IF('Risk Register'!AA35="","",'Risk Register'!AA35))</x:f>
      </x:c>
      <x:c r="N35" s="188" t="str">
        <x:f>IF(A35="","",IF('Risk Register'!AB35="","",'Risk Register'!AB35))</x:f>
      </x:c>
      <x:c r="O35" s="138" t="str">
        <x:f>IF(A35="","",IF('Risk Register'!AC35="","",'Risk Register'!AC35))</x:f>
      </x:c>
      <x:c r="P35" s="138" t="str">
        <x:f>IF(A35="","",'Risk Register'!AD35)</x:f>
      </x:c>
      <x:c r="Q35" s="138" t="str">
        <x:f>IF(A35="","",'Risk Register'!AE35)</x:f>
      </x:c>
      <x:c r="R35" s="138" t="str">
        <x:f>IF(A35="","",'Risk Register'!AF35)</x:f>
      </x:c>
      <x:c r="S35" s="138" t="str">
        <x:f>IF(A35="","",'Risk Register'!AG35)</x:f>
      </x:c>
      <x:c r="T35" s="138" t="str">
        <x:f>IF(A35="","",IF(NOT(ISNUMBER('Risk Register'!U35)),"Date needed",IF('Risk Register'!U35&lt;=0,"Date needed",IF('Risk Register'!T35="Closed","Closed",IF('Risk Register'!T35="Accepted",IF('Risk Register'!U35&lt;Methodology!$B$25,"Acceptance review due","Accepted - review scheduled"),IF('Risk Register'!U35&lt;Methodology!$B$25,"Overdue",IF('Risk Register'!U35&lt;=Methodology!$B$25+30,"Due within 30 days","Scheduled")))))))</x:f>
      </x:c>
    </x:row>
    <x:row r="36" ht="40" customHeight="1">
      <x:c r="A36" s="138" t="str">
        <x:f>IF('Risk Register'!A36="","",'Risk Register'!A36)</x:f>
      </x:c>
      <x:c r="B36" s="138" t="str">
        <x:f>IF(A36="","",'Risk Register'!D36)</x:f>
      </x:c>
      <x:c r="C36" s="138" t="str">
        <x:f>IF(A36="","",'Risk Register'!P36)</x:f>
      </x:c>
      <x:c r="D36" s="138" t="str">
        <x:f>IF(A36="","",'Risk Register'!Q36)</x:f>
      </x:c>
      <x:c r="E36" s="138" t="str">
        <x:f>IF(A36="","",'Risk Register'!S36)</x:f>
      </x:c>
      <x:c r="F36" s="138" t="str">
        <x:f>IF(A36="","",'Risk Register'!T36)</x:f>
      </x:c>
      <x:c r="G36" s="187" t="str">
        <x:f>IF(A36="","",IF(ISNUMBER('Risk Register'!U36),IF('Risk Register'!U36&gt;0,'Risk Register'!U36,""),""))</x:f>
      </x:c>
      <x:c r="H36" s="138" t="str">
        <x:f>IF(A36="","",IF(OR(F36="Closed",F36="Accepted"),"",IF(ISNUMBER('Risk Register'!U36),IF('Risk Register'!U36&gt;0,'Risk Register'!U36-Methodology!$B$25,""),"")))</x:f>
      </x:c>
      <x:c r="I36" s="138" t="str">
        <x:f>IF(A36="","",'Risk Register'!R36)</x:f>
      </x:c>
      <x:c r="J36" s="138" t="str">
        <x:f>IF(A36="","",'Risk Register'!X36)</x:f>
      </x:c>
      <x:c r="K36" s="138" t="str">
        <x:f>IF(A36="","",IF('Risk Register'!Y36="","",'Risk Register'!Y36))</x:f>
      </x:c>
      <x:c r="L36" s="138" t="str">
        <x:f>IF(A36="","",IF('Risk Register'!Z36="","",'Risk Register'!Z36))</x:f>
      </x:c>
      <x:c r="M36" s="138" t="str">
        <x:f>IF(A36="","",IF('Risk Register'!AA36="","",'Risk Register'!AA36))</x:f>
      </x:c>
      <x:c r="N36" s="188" t="str">
        <x:f>IF(A36="","",IF('Risk Register'!AB36="","",'Risk Register'!AB36))</x:f>
      </x:c>
      <x:c r="O36" s="138" t="str">
        <x:f>IF(A36="","",IF('Risk Register'!AC36="","",'Risk Register'!AC36))</x:f>
      </x:c>
      <x:c r="P36" s="138" t="str">
        <x:f>IF(A36="","",'Risk Register'!AD36)</x:f>
      </x:c>
      <x:c r="Q36" s="138" t="str">
        <x:f>IF(A36="","",'Risk Register'!AE36)</x:f>
      </x:c>
      <x:c r="R36" s="138" t="str">
        <x:f>IF(A36="","",'Risk Register'!AF36)</x:f>
      </x:c>
      <x:c r="S36" s="138" t="str">
        <x:f>IF(A36="","",'Risk Register'!AG36)</x:f>
      </x:c>
      <x:c r="T36" s="138" t="str">
        <x:f>IF(A36="","",IF(NOT(ISNUMBER('Risk Register'!U36)),"Date needed",IF('Risk Register'!U36&lt;=0,"Date needed",IF('Risk Register'!T36="Closed","Closed",IF('Risk Register'!T36="Accepted",IF('Risk Register'!U36&lt;Methodology!$B$25,"Acceptance review due","Accepted - review scheduled"),IF('Risk Register'!U36&lt;Methodology!$B$25,"Overdue",IF('Risk Register'!U36&lt;=Methodology!$B$25+30,"Due within 30 days","Scheduled")))))))</x:f>
      </x:c>
    </x:row>
    <x:row r="37" ht="40" customHeight="1">
      <x:c r="A37" s="138" t="str">
        <x:f>IF('Risk Register'!A37="","",'Risk Register'!A37)</x:f>
      </x:c>
      <x:c r="B37" s="138" t="str">
        <x:f>IF(A37="","",'Risk Register'!D37)</x:f>
      </x:c>
      <x:c r="C37" s="138" t="str">
        <x:f>IF(A37="","",'Risk Register'!P37)</x:f>
      </x:c>
      <x:c r="D37" s="138" t="str">
        <x:f>IF(A37="","",'Risk Register'!Q37)</x:f>
      </x:c>
      <x:c r="E37" s="138" t="str">
        <x:f>IF(A37="","",'Risk Register'!S37)</x:f>
      </x:c>
      <x:c r="F37" s="138" t="str">
        <x:f>IF(A37="","",'Risk Register'!T37)</x:f>
      </x:c>
      <x:c r="G37" s="187" t="str">
        <x:f>IF(A37="","",IF(ISNUMBER('Risk Register'!U37),IF('Risk Register'!U37&gt;0,'Risk Register'!U37,""),""))</x:f>
      </x:c>
      <x:c r="H37" s="138" t="str">
        <x:f>IF(A37="","",IF(OR(F37="Closed",F37="Accepted"),"",IF(ISNUMBER('Risk Register'!U37),IF('Risk Register'!U37&gt;0,'Risk Register'!U37-Methodology!$B$25,""),"")))</x:f>
      </x:c>
      <x:c r="I37" s="138" t="str">
        <x:f>IF(A37="","",'Risk Register'!R37)</x:f>
      </x:c>
      <x:c r="J37" s="138" t="str">
        <x:f>IF(A37="","",'Risk Register'!X37)</x:f>
      </x:c>
      <x:c r="K37" s="138" t="str">
        <x:f>IF(A37="","",IF('Risk Register'!Y37="","",'Risk Register'!Y37))</x:f>
      </x:c>
      <x:c r="L37" s="138" t="str">
        <x:f>IF(A37="","",IF('Risk Register'!Z37="","",'Risk Register'!Z37))</x:f>
      </x:c>
      <x:c r="M37" s="138" t="str">
        <x:f>IF(A37="","",IF('Risk Register'!AA37="","",'Risk Register'!AA37))</x:f>
      </x:c>
      <x:c r="N37" s="188" t="str">
        <x:f>IF(A37="","",IF('Risk Register'!AB37="","",'Risk Register'!AB37))</x:f>
      </x:c>
      <x:c r="O37" s="138" t="str">
        <x:f>IF(A37="","",IF('Risk Register'!AC37="","",'Risk Register'!AC37))</x:f>
      </x:c>
      <x:c r="P37" s="138" t="str">
        <x:f>IF(A37="","",'Risk Register'!AD37)</x:f>
      </x:c>
      <x:c r="Q37" s="138" t="str">
        <x:f>IF(A37="","",'Risk Register'!AE37)</x:f>
      </x:c>
      <x:c r="R37" s="138" t="str">
        <x:f>IF(A37="","",'Risk Register'!AF37)</x:f>
      </x:c>
      <x:c r="S37" s="138" t="str">
        <x:f>IF(A37="","",'Risk Register'!AG37)</x:f>
      </x:c>
      <x:c r="T37" s="138" t="str">
        <x:f>IF(A37="","",IF(NOT(ISNUMBER('Risk Register'!U37)),"Date needed",IF('Risk Register'!U37&lt;=0,"Date needed",IF('Risk Register'!T37="Closed","Closed",IF('Risk Register'!T37="Accepted",IF('Risk Register'!U37&lt;Methodology!$B$25,"Acceptance review due","Accepted - review scheduled"),IF('Risk Register'!U37&lt;Methodology!$B$25,"Overdue",IF('Risk Register'!U37&lt;=Methodology!$B$25+30,"Due within 30 days","Scheduled")))))))</x:f>
      </x:c>
    </x:row>
    <x:row r="38" ht="40" customHeight="1">
      <x:c r="A38" s="138" t="str">
        <x:f>IF('Risk Register'!A38="","",'Risk Register'!A38)</x:f>
      </x:c>
      <x:c r="B38" s="138" t="str">
        <x:f>IF(A38="","",'Risk Register'!D38)</x:f>
      </x:c>
      <x:c r="C38" s="138" t="str">
        <x:f>IF(A38="","",'Risk Register'!P38)</x:f>
      </x:c>
      <x:c r="D38" s="138" t="str">
        <x:f>IF(A38="","",'Risk Register'!Q38)</x:f>
      </x:c>
      <x:c r="E38" s="138" t="str">
        <x:f>IF(A38="","",'Risk Register'!S38)</x:f>
      </x:c>
      <x:c r="F38" s="138" t="str">
        <x:f>IF(A38="","",'Risk Register'!T38)</x:f>
      </x:c>
      <x:c r="G38" s="187" t="str">
        <x:f>IF(A38="","",IF(ISNUMBER('Risk Register'!U38),IF('Risk Register'!U38&gt;0,'Risk Register'!U38,""),""))</x:f>
      </x:c>
      <x:c r="H38" s="138" t="str">
        <x:f>IF(A38="","",IF(OR(F38="Closed",F38="Accepted"),"",IF(ISNUMBER('Risk Register'!U38),IF('Risk Register'!U38&gt;0,'Risk Register'!U38-Methodology!$B$25,""),"")))</x:f>
      </x:c>
      <x:c r="I38" s="138" t="str">
        <x:f>IF(A38="","",'Risk Register'!R38)</x:f>
      </x:c>
      <x:c r="J38" s="138" t="str">
        <x:f>IF(A38="","",'Risk Register'!X38)</x:f>
      </x:c>
      <x:c r="K38" s="138" t="str">
        <x:f>IF(A38="","",IF('Risk Register'!Y38="","",'Risk Register'!Y38))</x:f>
      </x:c>
      <x:c r="L38" s="138" t="str">
        <x:f>IF(A38="","",IF('Risk Register'!Z38="","",'Risk Register'!Z38))</x:f>
      </x:c>
      <x:c r="M38" s="138" t="str">
        <x:f>IF(A38="","",IF('Risk Register'!AA38="","",'Risk Register'!AA38))</x:f>
      </x:c>
      <x:c r="N38" s="188" t="str">
        <x:f>IF(A38="","",IF('Risk Register'!AB38="","",'Risk Register'!AB38))</x:f>
      </x:c>
      <x:c r="O38" s="138" t="str">
        <x:f>IF(A38="","",IF('Risk Register'!AC38="","",'Risk Register'!AC38))</x:f>
      </x:c>
      <x:c r="P38" s="138" t="str">
        <x:f>IF(A38="","",'Risk Register'!AD38)</x:f>
      </x:c>
      <x:c r="Q38" s="138" t="str">
        <x:f>IF(A38="","",'Risk Register'!AE38)</x:f>
      </x:c>
      <x:c r="R38" s="138" t="str">
        <x:f>IF(A38="","",'Risk Register'!AF38)</x:f>
      </x:c>
      <x:c r="S38" s="138" t="str">
        <x:f>IF(A38="","",'Risk Register'!AG38)</x:f>
      </x:c>
      <x:c r="T38" s="138" t="str">
        <x:f>IF(A38="","",IF(NOT(ISNUMBER('Risk Register'!U38)),"Date needed",IF('Risk Register'!U38&lt;=0,"Date needed",IF('Risk Register'!T38="Closed","Closed",IF('Risk Register'!T38="Accepted",IF('Risk Register'!U38&lt;Methodology!$B$25,"Acceptance review due","Accepted - review scheduled"),IF('Risk Register'!U38&lt;Methodology!$B$25,"Overdue",IF('Risk Register'!U38&lt;=Methodology!$B$25+30,"Due within 30 days","Scheduled")))))))</x:f>
      </x:c>
    </x:row>
    <x:row r="39" ht="40" customHeight="1">
      <x:c r="A39" s="138" t="str">
        <x:f>IF('Risk Register'!A39="","",'Risk Register'!A39)</x:f>
      </x:c>
      <x:c r="B39" s="138" t="str">
        <x:f>IF(A39="","",'Risk Register'!D39)</x:f>
      </x:c>
      <x:c r="C39" s="138" t="str">
        <x:f>IF(A39="","",'Risk Register'!P39)</x:f>
      </x:c>
      <x:c r="D39" s="138" t="str">
        <x:f>IF(A39="","",'Risk Register'!Q39)</x:f>
      </x:c>
      <x:c r="E39" s="138" t="str">
        <x:f>IF(A39="","",'Risk Register'!S39)</x:f>
      </x:c>
      <x:c r="F39" s="138" t="str">
        <x:f>IF(A39="","",'Risk Register'!T39)</x:f>
      </x:c>
      <x:c r="G39" s="187" t="str">
        <x:f>IF(A39="","",IF(ISNUMBER('Risk Register'!U39),IF('Risk Register'!U39&gt;0,'Risk Register'!U39,""),""))</x:f>
      </x:c>
      <x:c r="H39" s="138" t="str">
        <x:f>IF(A39="","",IF(OR(F39="Closed",F39="Accepted"),"",IF(ISNUMBER('Risk Register'!U39),IF('Risk Register'!U39&gt;0,'Risk Register'!U39-Methodology!$B$25,""),"")))</x:f>
      </x:c>
      <x:c r="I39" s="138" t="str">
        <x:f>IF(A39="","",'Risk Register'!R39)</x:f>
      </x:c>
      <x:c r="J39" s="138" t="str">
        <x:f>IF(A39="","",'Risk Register'!X39)</x:f>
      </x:c>
      <x:c r="K39" s="138" t="str">
        <x:f>IF(A39="","",IF('Risk Register'!Y39="","",'Risk Register'!Y39))</x:f>
      </x:c>
      <x:c r="L39" s="138" t="str">
        <x:f>IF(A39="","",IF('Risk Register'!Z39="","",'Risk Register'!Z39))</x:f>
      </x:c>
      <x:c r="M39" s="138" t="str">
        <x:f>IF(A39="","",IF('Risk Register'!AA39="","",'Risk Register'!AA39))</x:f>
      </x:c>
      <x:c r="N39" s="188" t="str">
        <x:f>IF(A39="","",IF('Risk Register'!AB39="","",'Risk Register'!AB39))</x:f>
      </x:c>
      <x:c r="O39" s="138" t="str">
        <x:f>IF(A39="","",IF('Risk Register'!AC39="","",'Risk Register'!AC39))</x:f>
      </x:c>
      <x:c r="P39" s="138" t="str">
        <x:f>IF(A39="","",'Risk Register'!AD39)</x:f>
      </x:c>
      <x:c r="Q39" s="138" t="str">
        <x:f>IF(A39="","",'Risk Register'!AE39)</x:f>
      </x:c>
      <x:c r="R39" s="138" t="str">
        <x:f>IF(A39="","",'Risk Register'!AF39)</x:f>
      </x:c>
      <x:c r="S39" s="138" t="str">
        <x:f>IF(A39="","",'Risk Register'!AG39)</x:f>
      </x:c>
      <x:c r="T39" s="138" t="str">
        <x:f>IF(A39="","",IF(NOT(ISNUMBER('Risk Register'!U39)),"Date needed",IF('Risk Register'!U39&lt;=0,"Date needed",IF('Risk Register'!T39="Closed","Closed",IF('Risk Register'!T39="Accepted",IF('Risk Register'!U39&lt;Methodology!$B$25,"Acceptance review due","Accepted - review scheduled"),IF('Risk Register'!U39&lt;Methodology!$B$25,"Overdue",IF('Risk Register'!U39&lt;=Methodology!$B$25+30,"Due within 30 days","Scheduled")))))))</x:f>
      </x:c>
    </x:row>
    <x:row r="40" ht="40" customHeight="1">
      <x:c r="A40" s="138" t="str">
        <x:f>IF('Risk Register'!A40="","",'Risk Register'!A40)</x:f>
      </x:c>
      <x:c r="B40" s="138" t="str">
        <x:f>IF(A40="","",'Risk Register'!D40)</x:f>
      </x:c>
      <x:c r="C40" s="138" t="str">
        <x:f>IF(A40="","",'Risk Register'!P40)</x:f>
      </x:c>
      <x:c r="D40" s="138" t="str">
        <x:f>IF(A40="","",'Risk Register'!Q40)</x:f>
      </x:c>
      <x:c r="E40" s="138" t="str">
        <x:f>IF(A40="","",'Risk Register'!S40)</x:f>
      </x:c>
      <x:c r="F40" s="138" t="str">
        <x:f>IF(A40="","",'Risk Register'!T40)</x:f>
      </x:c>
      <x:c r="G40" s="187" t="str">
        <x:f>IF(A40="","",IF(ISNUMBER('Risk Register'!U40),IF('Risk Register'!U40&gt;0,'Risk Register'!U40,""),""))</x:f>
      </x:c>
      <x:c r="H40" s="138" t="str">
        <x:f>IF(A40="","",IF(OR(F40="Closed",F40="Accepted"),"",IF(ISNUMBER('Risk Register'!U40),IF('Risk Register'!U40&gt;0,'Risk Register'!U40-Methodology!$B$25,""),"")))</x:f>
      </x:c>
      <x:c r="I40" s="138" t="str">
        <x:f>IF(A40="","",'Risk Register'!R40)</x:f>
      </x:c>
      <x:c r="J40" s="138" t="str">
        <x:f>IF(A40="","",'Risk Register'!X40)</x:f>
      </x:c>
      <x:c r="K40" s="138" t="str">
        <x:f>IF(A40="","",IF('Risk Register'!Y40="","",'Risk Register'!Y40))</x:f>
      </x:c>
      <x:c r="L40" s="138" t="str">
        <x:f>IF(A40="","",IF('Risk Register'!Z40="","",'Risk Register'!Z40))</x:f>
      </x:c>
      <x:c r="M40" s="138" t="str">
        <x:f>IF(A40="","",IF('Risk Register'!AA40="","",'Risk Register'!AA40))</x:f>
      </x:c>
      <x:c r="N40" s="188" t="str">
        <x:f>IF(A40="","",IF('Risk Register'!AB40="","",'Risk Register'!AB40))</x:f>
      </x:c>
      <x:c r="O40" s="138" t="str">
        <x:f>IF(A40="","",IF('Risk Register'!AC40="","",'Risk Register'!AC40))</x:f>
      </x:c>
      <x:c r="P40" s="138" t="str">
        <x:f>IF(A40="","",'Risk Register'!AD40)</x:f>
      </x:c>
      <x:c r="Q40" s="138" t="str">
        <x:f>IF(A40="","",'Risk Register'!AE40)</x:f>
      </x:c>
      <x:c r="R40" s="138" t="str">
        <x:f>IF(A40="","",'Risk Register'!AF40)</x:f>
      </x:c>
      <x:c r="S40" s="138" t="str">
        <x:f>IF(A40="","",'Risk Register'!AG40)</x:f>
      </x:c>
      <x:c r="T40" s="138" t="str">
        <x:f>IF(A40="","",IF(NOT(ISNUMBER('Risk Register'!U40)),"Date needed",IF('Risk Register'!U40&lt;=0,"Date needed",IF('Risk Register'!T40="Closed","Closed",IF('Risk Register'!T40="Accepted",IF('Risk Register'!U40&lt;Methodology!$B$25,"Acceptance review due","Accepted - review scheduled"),IF('Risk Register'!U40&lt;Methodology!$B$25,"Overdue",IF('Risk Register'!U40&lt;=Methodology!$B$25+30,"Due within 30 days","Scheduled")))))))</x:f>
      </x:c>
    </x:row>
    <x:row r="41" ht="40" customHeight="1">
      <x:c r="A41" s="138" t="str">
        <x:f>IF('Risk Register'!A41="","",'Risk Register'!A41)</x:f>
      </x:c>
      <x:c r="B41" s="138" t="str">
        <x:f>IF(A41="","",'Risk Register'!D41)</x:f>
      </x:c>
      <x:c r="C41" s="138" t="str">
        <x:f>IF(A41="","",'Risk Register'!P41)</x:f>
      </x:c>
      <x:c r="D41" s="138" t="str">
        <x:f>IF(A41="","",'Risk Register'!Q41)</x:f>
      </x:c>
      <x:c r="E41" s="138" t="str">
        <x:f>IF(A41="","",'Risk Register'!S41)</x:f>
      </x:c>
      <x:c r="F41" s="138" t="str">
        <x:f>IF(A41="","",'Risk Register'!T41)</x:f>
      </x:c>
      <x:c r="G41" s="187" t="str">
        <x:f>IF(A41="","",IF(ISNUMBER('Risk Register'!U41),IF('Risk Register'!U41&gt;0,'Risk Register'!U41,""),""))</x:f>
      </x:c>
      <x:c r="H41" s="138" t="str">
        <x:f>IF(A41="","",IF(OR(F41="Closed",F41="Accepted"),"",IF(ISNUMBER('Risk Register'!U41),IF('Risk Register'!U41&gt;0,'Risk Register'!U41-Methodology!$B$25,""),"")))</x:f>
      </x:c>
      <x:c r="I41" s="138" t="str">
        <x:f>IF(A41="","",'Risk Register'!R41)</x:f>
      </x:c>
      <x:c r="J41" s="138" t="str">
        <x:f>IF(A41="","",'Risk Register'!X41)</x:f>
      </x:c>
      <x:c r="K41" s="138" t="str">
        <x:f>IF(A41="","",IF('Risk Register'!Y41="","",'Risk Register'!Y41))</x:f>
      </x:c>
      <x:c r="L41" s="138" t="str">
        <x:f>IF(A41="","",IF('Risk Register'!Z41="","",'Risk Register'!Z41))</x:f>
      </x:c>
      <x:c r="M41" s="138" t="str">
        <x:f>IF(A41="","",IF('Risk Register'!AA41="","",'Risk Register'!AA41))</x:f>
      </x:c>
      <x:c r="N41" s="188" t="str">
        <x:f>IF(A41="","",IF('Risk Register'!AB41="","",'Risk Register'!AB41))</x:f>
      </x:c>
      <x:c r="O41" s="138" t="str">
        <x:f>IF(A41="","",IF('Risk Register'!AC41="","",'Risk Register'!AC41))</x:f>
      </x:c>
      <x:c r="P41" s="138" t="str">
        <x:f>IF(A41="","",'Risk Register'!AD41)</x:f>
      </x:c>
      <x:c r="Q41" s="138" t="str">
        <x:f>IF(A41="","",'Risk Register'!AE41)</x:f>
      </x:c>
      <x:c r="R41" s="138" t="str">
        <x:f>IF(A41="","",'Risk Register'!AF41)</x:f>
      </x:c>
      <x:c r="S41" s="138" t="str">
        <x:f>IF(A41="","",'Risk Register'!AG41)</x:f>
      </x:c>
      <x:c r="T41" s="138" t="str">
        <x:f>IF(A41="","",IF(NOT(ISNUMBER('Risk Register'!U41)),"Date needed",IF('Risk Register'!U41&lt;=0,"Date needed",IF('Risk Register'!T41="Closed","Closed",IF('Risk Register'!T41="Accepted",IF('Risk Register'!U41&lt;Methodology!$B$25,"Acceptance review due","Accepted - review scheduled"),IF('Risk Register'!U41&lt;Methodology!$B$25,"Overdue",IF('Risk Register'!U41&lt;=Methodology!$B$25+30,"Due within 30 days","Scheduled")))))))</x:f>
      </x:c>
    </x:row>
    <x:row r="42" ht="40" customHeight="1">
      <x:c r="A42" s="138" t="str">
        <x:f>IF('Risk Register'!A42="","",'Risk Register'!A42)</x:f>
      </x:c>
      <x:c r="B42" s="138" t="str">
        <x:f>IF(A42="","",'Risk Register'!D42)</x:f>
      </x:c>
      <x:c r="C42" s="138" t="str">
        <x:f>IF(A42="","",'Risk Register'!P42)</x:f>
      </x:c>
      <x:c r="D42" s="138" t="str">
        <x:f>IF(A42="","",'Risk Register'!Q42)</x:f>
      </x:c>
      <x:c r="E42" s="138" t="str">
        <x:f>IF(A42="","",'Risk Register'!S42)</x:f>
      </x:c>
      <x:c r="F42" s="138" t="str">
        <x:f>IF(A42="","",'Risk Register'!T42)</x:f>
      </x:c>
      <x:c r="G42" s="187" t="str">
        <x:f>IF(A42="","",IF(ISNUMBER('Risk Register'!U42),IF('Risk Register'!U42&gt;0,'Risk Register'!U42,""),""))</x:f>
      </x:c>
      <x:c r="H42" s="138" t="str">
        <x:f>IF(A42="","",IF(OR(F42="Closed",F42="Accepted"),"",IF(ISNUMBER('Risk Register'!U42),IF('Risk Register'!U42&gt;0,'Risk Register'!U42-Methodology!$B$25,""),"")))</x:f>
      </x:c>
      <x:c r="I42" s="138" t="str">
        <x:f>IF(A42="","",'Risk Register'!R42)</x:f>
      </x:c>
      <x:c r="J42" s="138" t="str">
        <x:f>IF(A42="","",'Risk Register'!X42)</x:f>
      </x:c>
      <x:c r="K42" s="138" t="str">
        <x:f>IF(A42="","",IF('Risk Register'!Y42="","",'Risk Register'!Y42))</x:f>
      </x:c>
      <x:c r="L42" s="138" t="str">
        <x:f>IF(A42="","",IF('Risk Register'!Z42="","",'Risk Register'!Z42))</x:f>
      </x:c>
      <x:c r="M42" s="138" t="str">
        <x:f>IF(A42="","",IF('Risk Register'!AA42="","",'Risk Register'!AA42))</x:f>
      </x:c>
      <x:c r="N42" s="188" t="str">
        <x:f>IF(A42="","",IF('Risk Register'!AB42="","",'Risk Register'!AB42))</x:f>
      </x:c>
      <x:c r="O42" s="138" t="str">
        <x:f>IF(A42="","",IF('Risk Register'!AC42="","",'Risk Register'!AC42))</x:f>
      </x:c>
      <x:c r="P42" s="138" t="str">
        <x:f>IF(A42="","",'Risk Register'!AD42)</x:f>
      </x:c>
      <x:c r="Q42" s="138" t="str">
        <x:f>IF(A42="","",'Risk Register'!AE42)</x:f>
      </x:c>
      <x:c r="R42" s="138" t="str">
        <x:f>IF(A42="","",'Risk Register'!AF42)</x:f>
      </x:c>
      <x:c r="S42" s="138" t="str">
        <x:f>IF(A42="","",'Risk Register'!AG42)</x:f>
      </x:c>
      <x:c r="T42" s="138" t="str">
        <x:f>IF(A42="","",IF(NOT(ISNUMBER('Risk Register'!U42)),"Date needed",IF('Risk Register'!U42&lt;=0,"Date needed",IF('Risk Register'!T42="Closed","Closed",IF('Risk Register'!T42="Accepted",IF('Risk Register'!U42&lt;Methodology!$B$25,"Acceptance review due","Accepted - review scheduled"),IF('Risk Register'!U42&lt;Methodology!$B$25,"Overdue",IF('Risk Register'!U42&lt;=Methodology!$B$25+30,"Due within 30 days","Scheduled")))))))</x:f>
      </x:c>
    </x:row>
    <x:row r="43" ht="40" customHeight="1">
      <x:c r="A43" s="138" t="str">
        <x:f>IF('Risk Register'!A43="","",'Risk Register'!A43)</x:f>
      </x:c>
      <x:c r="B43" s="138" t="str">
        <x:f>IF(A43="","",'Risk Register'!D43)</x:f>
      </x:c>
      <x:c r="C43" s="138" t="str">
        <x:f>IF(A43="","",'Risk Register'!P43)</x:f>
      </x:c>
      <x:c r="D43" s="138" t="str">
        <x:f>IF(A43="","",'Risk Register'!Q43)</x:f>
      </x:c>
      <x:c r="E43" s="138" t="str">
        <x:f>IF(A43="","",'Risk Register'!S43)</x:f>
      </x:c>
      <x:c r="F43" s="138" t="str">
        <x:f>IF(A43="","",'Risk Register'!T43)</x:f>
      </x:c>
      <x:c r="G43" s="187" t="str">
        <x:f>IF(A43="","",IF(ISNUMBER('Risk Register'!U43),IF('Risk Register'!U43&gt;0,'Risk Register'!U43,""),""))</x:f>
      </x:c>
      <x:c r="H43" s="138" t="str">
        <x:f>IF(A43="","",IF(OR(F43="Closed",F43="Accepted"),"",IF(ISNUMBER('Risk Register'!U43),IF('Risk Register'!U43&gt;0,'Risk Register'!U43-Methodology!$B$25,""),"")))</x:f>
      </x:c>
      <x:c r="I43" s="138" t="str">
        <x:f>IF(A43="","",'Risk Register'!R43)</x:f>
      </x:c>
      <x:c r="J43" s="138" t="str">
        <x:f>IF(A43="","",'Risk Register'!X43)</x:f>
      </x:c>
      <x:c r="K43" s="138" t="str">
        <x:f>IF(A43="","",IF('Risk Register'!Y43="","",'Risk Register'!Y43))</x:f>
      </x:c>
      <x:c r="L43" s="138" t="str">
        <x:f>IF(A43="","",IF('Risk Register'!Z43="","",'Risk Register'!Z43))</x:f>
      </x:c>
      <x:c r="M43" s="138" t="str">
        <x:f>IF(A43="","",IF('Risk Register'!AA43="","",'Risk Register'!AA43))</x:f>
      </x:c>
      <x:c r="N43" s="188" t="str">
        <x:f>IF(A43="","",IF('Risk Register'!AB43="","",'Risk Register'!AB43))</x:f>
      </x:c>
      <x:c r="O43" s="138" t="str">
        <x:f>IF(A43="","",IF('Risk Register'!AC43="","",'Risk Register'!AC43))</x:f>
      </x:c>
      <x:c r="P43" s="138" t="str">
        <x:f>IF(A43="","",'Risk Register'!AD43)</x:f>
      </x:c>
      <x:c r="Q43" s="138" t="str">
        <x:f>IF(A43="","",'Risk Register'!AE43)</x:f>
      </x:c>
      <x:c r="R43" s="138" t="str">
        <x:f>IF(A43="","",'Risk Register'!AF43)</x:f>
      </x:c>
      <x:c r="S43" s="138" t="str">
        <x:f>IF(A43="","",'Risk Register'!AG43)</x:f>
      </x:c>
      <x:c r="T43" s="138" t="str">
        <x:f>IF(A43="","",IF(NOT(ISNUMBER('Risk Register'!U43)),"Date needed",IF('Risk Register'!U43&lt;=0,"Date needed",IF('Risk Register'!T43="Closed","Closed",IF('Risk Register'!T43="Accepted",IF('Risk Register'!U43&lt;Methodology!$B$25,"Acceptance review due","Accepted - review scheduled"),IF('Risk Register'!U43&lt;Methodology!$B$25,"Overdue",IF('Risk Register'!U43&lt;=Methodology!$B$25+30,"Due within 30 days","Scheduled")))))))</x:f>
      </x:c>
    </x:row>
    <x:row r="44" ht="40" customHeight="1">
      <x:c r="A44" s="138" t="str">
        <x:f>IF('Risk Register'!A44="","",'Risk Register'!A44)</x:f>
      </x:c>
      <x:c r="B44" s="138" t="str">
        <x:f>IF(A44="","",'Risk Register'!D44)</x:f>
      </x:c>
      <x:c r="C44" s="138" t="str">
        <x:f>IF(A44="","",'Risk Register'!P44)</x:f>
      </x:c>
      <x:c r="D44" s="138" t="str">
        <x:f>IF(A44="","",'Risk Register'!Q44)</x:f>
      </x:c>
      <x:c r="E44" s="138" t="str">
        <x:f>IF(A44="","",'Risk Register'!S44)</x:f>
      </x:c>
      <x:c r="F44" s="138" t="str">
        <x:f>IF(A44="","",'Risk Register'!T44)</x:f>
      </x:c>
      <x:c r="G44" s="187" t="str">
        <x:f>IF(A44="","",IF(ISNUMBER('Risk Register'!U44),IF('Risk Register'!U44&gt;0,'Risk Register'!U44,""),""))</x:f>
      </x:c>
      <x:c r="H44" s="138" t="str">
        <x:f>IF(A44="","",IF(OR(F44="Closed",F44="Accepted"),"",IF(ISNUMBER('Risk Register'!U44),IF('Risk Register'!U44&gt;0,'Risk Register'!U44-Methodology!$B$25,""),"")))</x:f>
      </x:c>
      <x:c r="I44" s="138" t="str">
        <x:f>IF(A44="","",'Risk Register'!R44)</x:f>
      </x:c>
      <x:c r="J44" s="138" t="str">
        <x:f>IF(A44="","",'Risk Register'!X44)</x:f>
      </x:c>
      <x:c r="K44" s="138" t="str">
        <x:f>IF(A44="","",IF('Risk Register'!Y44="","",'Risk Register'!Y44))</x:f>
      </x:c>
      <x:c r="L44" s="138" t="str">
        <x:f>IF(A44="","",IF('Risk Register'!Z44="","",'Risk Register'!Z44))</x:f>
      </x:c>
      <x:c r="M44" s="138" t="str">
        <x:f>IF(A44="","",IF('Risk Register'!AA44="","",'Risk Register'!AA44))</x:f>
      </x:c>
      <x:c r="N44" s="188" t="str">
        <x:f>IF(A44="","",IF('Risk Register'!AB44="","",'Risk Register'!AB44))</x:f>
      </x:c>
      <x:c r="O44" s="138" t="str">
        <x:f>IF(A44="","",IF('Risk Register'!AC44="","",'Risk Register'!AC44))</x:f>
      </x:c>
      <x:c r="P44" s="138" t="str">
        <x:f>IF(A44="","",'Risk Register'!AD44)</x:f>
      </x:c>
      <x:c r="Q44" s="138" t="str">
        <x:f>IF(A44="","",'Risk Register'!AE44)</x:f>
      </x:c>
      <x:c r="R44" s="138" t="str">
        <x:f>IF(A44="","",'Risk Register'!AF44)</x:f>
      </x:c>
      <x:c r="S44" s="138" t="str">
        <x:f>IF(A44="","",'Risk Register'!AG44)</x:f>
      </x:c>
      <x:c r="T44" s="138" t="str">
        <x:f>IF(A44="","",IF(NOT(ISNUMBER('Risk Register'!U44)),"Date needed",IF('Risk Register'!U44&lt;=0,"Date needed",IF('Risk Register'!T44="Closed","Closed",IF('Risk Register'!T44="Accepted",IF('Risk Register'!U44&lt;Methodology!$B$25,"Acceptance review due","Accepted - review scheduled"),IF('Risk Register'!U44&lt;Methodology!$B$25,"Overdue",IF('Risk Register'!U44&lt;=Methodology!$B$25+30,"Due within 30 days","Scheduled")))))))</x:f>
      </x:c>
    </x:row>
    <x:row r="45" ht="40" customHeight="1">
      <x:c r="A45" s="138" t="str">
        <x:f>IF('Risk Register'!A45="","",'Risk Register'!A45)</x:f>
      </x:c>
      <x:c r="B45" s="138" t="str">
        <x:f>IF(A45="","",'Risk Register'!D45)</x:f>
      </x:c>
      <x:c r="C45" s="138" t="str">
        <x:f>IF(A45="","",'Risk Register'!P45)</x:f>
      </x:c>
      <x:c r="D45" s="138" t="str">
        <x:f>IF(A45="","",'Risk Register'!Q45)</x:f>
      </x:c>
      <x:c r="E45" s="138" t="str">
        <x:f>IF(A45="","",'Risk Register'!S45)</x:f>
      </x:c>
      <x:c r="F45" s="138" t="str">
        <x:f>IF(A45="","",'Risk Register'!T45)</x:f>
      </x:c>
      <x:c r="G45" s="187" t="str">
        <x:f>IF(A45="","",IF(ISNUMBER('Risk Register'!U45),IF('Risk Register'!U45&gt;0,'Risk Register'!U45,""),""))</x:f>
      </x:c>
      <x:c r="H45" s="138" t="str">
        <x:f>IF(A45="","",IF(OR(F45="Closed",F45="Accepted"),"",IF(ISNUMBER('Risk Register'!U45),IF('Risk Register'!U45&gt;0,'Risk Register'!U45-Methodology!$B$25,""),"")))</x:f>
      </x:c>
      <x:c r="I45" s="138" t="str">
        <x:f>IF(A45="","",'Risk Register'!R45)</x:f>
      </x:c>
      <x:c r="J45" s="138" t="str">
        <x:f>IF(A45="","",'Risk Register'!X45)</x:f>
      </x:c>
      <x:c r="K45" s="138" t="str">
        <x:f>IF(A45="","",IF('Risk Register'!Y45="","",'Risk Register'!Y45))</x:f>
      </x:c>
      <x:c r="L45" s="138" t="str">
        <x:f>IF(A45="","",IF('Risk Register'!Z45="","",'Risk Register'!Z45))</x:f>
      </x:c>
      <x:c r="M45" s="138" t="str">
        <x:f>IF(A45="","",IF('Risk Register'!AA45="","",'Risk Register'!AA45))</x:f>
      </x:c>
      <x:c r="N45" s="188" t="str">
        <x:f>IF(A45="","",IF('Risk Register'!AB45="","",'Risk Register'!AB45))</x:f>
      </x:c>
      <x:c r="O45" s="138" t="str">
        <x:f>IF(A45="","",IF('Risk Register'!AC45="","",'Risk Register'!AC45))</x:f>
      </x:c>
      <x:c r="P45" s="138" t="str">
        <x:f>IF(A45="","",'Risk Register'!AD45)</x:f>
      </x:c>
      <x:c r="Q45" s="138" t="str">
        <x:f>IF(A45="","",'Risk Register'!AE45)</x:f>
      </x:c>
      <x:c r="R45" s="138" t="str">
        <x:f>IF(A45="","",'Risk Register'!AF45)</x:f>
      </x:c>
      <x:c r="S45" s="138" t="str">
        <x:f>IF(A45="","",'Risk Register'!AG45)</x:f>
      </x:c>
      <x:c r="T45" s="138" t="str">
        <x:f>IF(A45="","",IF(NOT(ISNUMBER('Risk Register'!U45)),"Date needed",IF('Risk Register'!U45&lt;=0,"Date needed",IF('Risk Register'!T45="Closed","Closed",IF('Risk Register'!T45="Accepted",IF('Risk Register'!U45&lt;Methodology!$B$25,"Acceptance review due","Accepted - review scheduled"),IF('Risk Register'!U45&lt;Methodology!$B$25,"Overdue",IF('Risk Register'!U45&lt;=Methodology!$B$25+30,"Due within 30 days","Scheduled")))))))</x:f>
      </x:c>
    </x:row>
    <x:row r="46" ht="40" customHeight="1">
      <x:c r="A46" s="138" t="str">
        <x:f>IF('Risk Register'!A46="","",'Risk Register'!A46)</x:f>
      </x:c>
      <x:c r="B46" s="138" t="str">
        <x:f>IF(A46="","",'Risk Register'!D46)</x:f>
      </x:c>
      <x:c r="C46" s="138" t="str">
        <x:f>IF(A46="","",'Risk Register'!P46)</x:f>
      </x:c>
      <x:c r="D46" s="138" t="str">
        <x:f>IF(A46="","",'Risk Register'!Q46)</x:f>
      </x:c>
      <x:c r="E46" s="138" t="str">
        <x:f>IF(A46="","",'Risk Register'!S46)</x:f>
      </x:c>
      <x:c r="F46" s="138" t="str">
        <x:f>IF(A46="","",'Risk Register'!T46)</x:f>
      </x:c>
      <x:c r="G46" s="187" t="str">
        <x:f>IF(A46="","",IF(ISNUMBER('Risk Register'!U46),IF('Risk Register'!U46&gt;0,'Risk Register'!U46,""),""))</x:f>
      </x:c>
      <x:c r="H46" s="138" t="str">
        <x:f>IF(A46="","",IF(OR(F46="Closed",F46="Accepted"),"",IF(ISNUMBER('Risk Register'!U46),IF('Risk Register'!U46&gt;0,'Risk Register'!U46-Methodology!$B$25,""),"")))</x:f>
      </x:c>
      <x:c r="I46" s="138" t="str">
        <x:f>IF(A46="","",'Risk Register'!R46)</x:f>
      </x:c>
      <x:c r="J46" s="138" t="str">
        <x:f>IF(A46="","",'Risk Register'!X46)</x:f>
      </x:c>
      <x:c r="K46" s="138" t="str">
        <x:f>IF(A46="","",IF('Risk Register'!Y46="","",'Risk Register'!Y46))</x:f>
      </x:c>
      <x:c r="L46" s="138" t="str">
        <x:f>IF(A46="","",IF('Risk Register'!Z46="","",'Risk Register'!Z46))</x:f>
      </x:c>
      <x:c r="M46" s="138" t="str">
        <x:f>IF(A46="","",IF('Risk Register'!AA46="","",'Risk Register'!AA46))</x:f>
      </x:c>
      <x:c r="N46" s="188" t="str">
        <x:f>IF(A46="","",IF('Risk Register'!AB46="","",'Risk Register'!AB46))</x:f>
      </x:c>
      <x:c r="O46" s="138" t="str">
        <x:f>IF(A46="","",IF('Risk Register'!AC46="","",'Risk Register'!AC46))</x:f>
      </x:c>
      <x:c r="P46" s="138" t="str">
        <x:f>IF(A46="","",'Risk Register'!AD46)</x:f>
      </x:c>
      <x:c r="Q46" s="138" t="str">
        <x:f>IF(A46="","",'Risk Register'!AE46)</x:f>
      </x:c>
      <x:c r="R46" s="138" t="str">
        <x:f>IF(A46="","",'Risk Register'!AF46)</x:f>
      </x:c>
      <x:c r="S46" s="138" t="str">
        <x:f>IF(A46="","",'Risk Register'!AG46)</x:f>
      </x:c>
      <x:c r="T46" s="138" t="str">
        <x:f>IF(A46="","",IF(NOT(ISNUMBER('Risk Register'!U46)),"Date needed",IF('Risk Register'!U46&lt;=0,"Date needed",IF('Risk Register'!T46="Closed","Closed",IF('Risk Register'!T46="Accepted",IF('Risk Register'!U46&lt;Methodology!$B$25,"Acceptance review due","Accepted - review scheduled"),IF('Risk Register'!U46&lt;Methodology!$B$25,"Overdue",IF('Risk Register'!U46&lt;=Methodology!$B$25+30,"Due within 30 days","Scheduled")))))))</x:f>
      </x:c>
    </x:row>
    <x:row r="47" ht="40" customHeight="1">
      <x:c r="A47" s="138" t="str">
        <x:f>IF('Risk Register'!A47="","",'Risk Register'!A47)</x:f>
      </x:c>
      <x:c r="B47" s="138" t="str">
        <x:f>IF(A47="","",'Risk Register'!D47)</x:f>
      </x:c>
      <x:c r="C47" s="138" t="str">
        <x:f>IF(A47="","",'Risk Register'!P47)</x:f>
      </x:c>
      <x:c r="D47" s="138" t="str">
        <x:f>IF(A47="","",'Risk Register'!Q47)</x:f>
      </x:c>
      <x:c r="E47" s="138" t="str">
        <x:f>IF(A47="","",'Risk Register'!S47)</x:f>
      </x:c>
      <x:c r="F47" s="138" t="str">
        <x:f>IF(A47="","",'Risk Register'!T47)</x:f>
      </x:c>
      <x:c r="G47" s="187" t="str">
        <x:f>IF(A47="","",IF(ISNUMBER('Risk Register'!U47),IF('Risk Register'!U47&gt;0,'Risk Register'!U47,""),""))</x:f>
      </x:c>
      <x:c r="H47" s="138" t="str">
        <x:f>IF(A47="","",IF(OR(F47="Closed",F47="Accepted"),"",IF(ISNUMBER('Risk Register'!U47),IF('Risk Register'!U47&gt;0,'Risk Register'!U47-Methodology!$B$25,""),"")))</x:f>
      </x:c>
      <x:c r="I47" s="138" t="str">
        <x:f>IF(A47="","",'Risk Register'!R47)</x:f>
      </x:c>
      <x:c r="J47" s="138" t="str">
        <x:f>IF(A47="","",'Risk Register'!X47)</x:f>
      </x:c>
      <x:c r="K47" s="138" t="str">
        <x:f>IF(A47="","",IF('Risk Register'!Y47="","",'Risk Register'!Y47))</x:f>
      </x:c>
      <x:c r="L47" s="138" t="str">
        <x:f>IF(A47="","",IF('Risk Register'!Z47="","",'Risk Register'!Z47))</x:f>
      </x:c>
      <x:c r="M47" s="138" t="str">
        <x:f>IF(A47="","",IF('Risk Register'!AA47="","",'Risk Register'!AA47))</x:f>
      </x:c>
      <x:c r="N47" s="188" t="str">
        <x:f>IF(A47="","",IF('Risk Register'!AB47="","",'Risk Register'!AB47))</x:f>
      </x:c>
      <x:c r="O47" s="138" t="str">
        <x:f>IF(A47="","",IF('Risk Register'!AC47="","",'Risk Register'!AC47))</x:f>
      </x:c>
      <x:c r="P47" s="138" t="str">
        <x:f>IF(A47="","",'Risk Register'!AD47)</x:f>
      </x:c>
      <x:c r="Q47" s="138" t="str">
        <x:f>IF(A47="","",'Risk Register'!AE47)</x:f>
      </x:c>
      <x:c r="R47" s="138" t="str">
        <x:f>IF(A47="","",'Risk Register'!AF47)</x:f>
      </x:c>
      <x:c r="S47" s="138" t="str">
        <x:f>IF(A47="","",'Risk Register'!AG47)</x:f>
      </x:c>
      <x:c r="T47" s="138" t="str">
        <x:f>IF(A47="","",IF(NOT(ISNUMBER('Risk Register'!U47)),"Date needed",IF('Risk Register'!U47&lt;=0,"Date needed",IF('Risk Register'!T47="Closed","Closed",IF('Risk Register'!T47="Accepted",IF('Risk Register'!U47&lt;Methodology!$B$25,"Acceptance review due","Accepted - review scheduled"),IF('Risk Register'!U47&lt;Methodology!$B$25,"Overdue",IF('Risk Register'!U47&lt;=Methodology!$B$25+30,"Due within 30 days","Scheduled")))))))</x:f>
      </x:c>
    </x:row>
    <x:row r="48" ht="40" customHeight="1">
      <x:c r="A48" s="138" t="str">
        <x:f>IF('Risk Register'!A48="","",'Risk Register'!A48)</x:f>
      </x:c>
      <x:c r="B48" s="138" t="str">
        <x:f>IF(A48="","",'Risk Register'!D48)</x:f>
      </x:c>
      <x:c r="C48" s="138" t="str">
        <x:f>IF(A48="","",'Risk Register'!P48)</x:f>
      </x:c>
      <x:c r="D48" s="138" t="str">
        <x:f>IF(A48="","",'Risk Register'!Q48)</x:f>
      </x:c>
      <x:c r="E48" s="138" t="str">
        <x:f>IF(A48="","",'Risk Register'!S48)</x:f>
      </x:c>
      <x:c r="F48" s="138" t="str">
        <x:f>IF(A48="","",'Risk Register'!T48)</x:f>
      </x:c>
      <x:c r="G48" s="187" t="str">
        <x:f>IF(A48="","",IF(ISNUMBER('Risk Register'!U48),IF('Risk Register'!U48&gt;0,'Risk Register'!U48,""),""))</x:f>
      </x:c>
      <x:c r="H48" s="138" t="str">
        <x:f>IF(A48="","",IF(OR(F48="Closed",F48="Accepted"),"",IF(ISNUMBER('Risk Register'!U48),IF('Risk Register'!U48&gt;0,'Risk Register'!U48-Methodology!$B$25,""),"")))</x:f>
      </x:c>
      <x:c r="I48" s="138" t="str">
        <x:f>IF(A48="","",'Risk Register'!R48)</x:f>
      </x:c>
      <x:c r="J48" s="138" t="str">
        <x:f>IF(A48="","",'Risk Register'!X48)</x:f>
      </x:c>
      <x:c r="K48" s="138" t="str">
        <x:f>IF(A48="","",IF('Risk Register'!Y48="","",'Risk Register'!Y48))</x:f>
      </x:c>
      <x:c r="L48" s="138" t="str">
        <x:f>IF(A48="","",IF('Risk Register'!Z48="","",'Risk Register'!Z48))</x:f>
      </x:c>
      <x:c r="M48" s="138" t="str">
        <x:f>IF(A48="","",IF('Risk Register'!AA48="","",'Risk Register'!AA48))</x:f>
      </x:c>
      <x:c r="N48" s="188" t="str">
        <x:f>IF(A48="","",IF('Risk Register'!AB48="","",'Risk Register'!AB48))</x:f>
      </x:c>
      <x:c r="O48" s="138" t="str">
        <x:f>IF(A48="","",IF('Risk Register'!AC48="","",'Risk Register'!AC48))</x:f>
      </x:c>
      <x:c r="P48" s="138" t="str">
        <x:f>IF(A48="","",'Risk Register'!AD48)</x:f>
      </x:c>
      <x:c r="Q48" s="138" t="str">
        <x:f>IF(A48="","",'Risk Register'!AE48)</x:f>
      </x:c>
      <x:c r="R48" s="138" t="str">
        <x:f>IF(A48="","",'Risk Register'!AF48)</x:f>
      </x:c>
      <x:c r="S48" s="138" t="str">
        <x:f>IF(A48="","",'Risk Register'!AG48)</x:f>
      </x:c>
      <x:c r="T48" s="138" t="str">
        <x:f>IF(A48="","",IF(NOT(ISNUMBER('Risk Register'!U48)),"Date needed",IF('Risk Register'!U48&lt;=0,"Date needed",IF('Risk Register'!T48="Closed","Closed",IF('Risk Register'!T48="Accepted",IF('Risk Register'!U48&lt;Methodology!$B$25,"Acceptance review due","Accepted - review scheduled"),IF('Risk Register'!U48&lt;Methodology!$B$25,"Overdue",IF('Risk Register'!U48&lt;=Methodology!$B$25+30,"Due within 30 days","Scheduled")))))))</x:f>
      </x:c>
    </x:row>
    <x:row r="49" ht="40" customHeight="1">
      <x:c r="A49" s="138" t="str">
        <x:f>IF('Risk Register'!A49="","",'Risk Register'!A49)</x:f>
      </x:c>
      <x:c r="B49" s="138" t="str">
        <x:f>IF(A49="","",'Risk Register'!D49)</x:f>
      </x:c>
      <x:c r="C49" s="138" t="str">
        <x:f>IF(A49="","",'Risk Register'!P49)</x:f>
      </x:c>
      <x:c r="D49" s="138" t="str">
        <x:f>IF(A49="","",'Risk Register'!Q49)</x:f>
      </x:c>
      <x:c r="E49" s="138" t="str">
        <x:f>IF(A49="","",'Risk Register'!S49)</x:f>
      </x:c>
      <x:c r="F49" s="138" t="str">
        <x:f>IF(A49="","",'Risk Register'!T49)</x:f>
      </x:c>
      <x:c r="G49" s="187" t="str">
        <x:f>IF(A49="","",IF(ISNUMBER('Risk Register'!U49),IF('Risk Register'!U49&gt;0,'Risk Register'!U49,""),""))</x:f>
      </x:c>
      <x:c r="H49" s="138" t="str">
        <x:f>IF(A49="","",IF(OR(F49="Closed",F49="Accepted"),"",IF(ISNUMBER('Risk Register'!U49),IF('Risk Register'!U49&gt;0,'Risk Register'!U49-Methodology!$B$25,""),"")))</x:f>
      </x:c>
      <x:c r="I49" s="138" t="str">
        <x:f>IF(A49="","",'Risk Register'!R49)</x:f>
      </x:c>
      <x:c r="J49" s="138" t="str">
        <x:f>IF(A49="","",'Risk Register'!X49)</x:f>
      </x:c>
      <x:c r="K49" s="138" t="str">
        <x:f>IF(A49="","",IF('Risk Register'!Y49="","",'Risk Register'!Y49))</x:f>
      </x:c>
      <x:c r="L49" s="138" t="str">
        <x:f>IF(A49="","",IF('Risk Register'!Z49="","",'Risk Register'!Z49))</x:f>
      </x:c>
      <x:c r="M49" s="138" t="str">
        <x:f>IF(A49="","",IF('Risk Register'!AA49="","",'Risk Register'!AA49))</x:f>
      </x:c>
      <x:c r="N49" s="188" t="str">
        <x:f>IF(A49="","",IF('Risk Register'!AB49="","",'Risk Register'!AB49))</x:f>
      </x:c>
      <x:c r="O49" s="138" t="str">
        <x:f>IF(A49="","",IF('Risk Register'!AC49="","",'Risk Register'!AC49))</x:f>
      </x:c>
      <x:c r="P49" s="138" t="str">
        <x:f>IF(A49="","",'Risk Register'!AD49)</x:f>
      </x:c>
      <x:c r="Q49" s="138" t="str">
        <x:f>IF(A49="","",'Risk Register'!AE49)</x:f>
      </x:c>
      <x:c r="R49" s="138" t="str">
        <x:f>IF(A49="","",'Risk Register'!AF49)</x:f>
      </x:c>
      <x:c r="S49" s="138" t="str">
        <x:f>IF(A49="","",'Risk Register'!AG49)</x:f>
      </x:c>
      <x:c r="T49" s="138" t="str">
        <x:f>IF(A49="","",IF(NOT(ISNUMBER('Risk Register'!U49)),"Date needed",IF('Risk Register'!U49&lt;=0,"Date needed",IF('Risk Register'!T49="Closed","Closed",IF('Risk Register'!T49="Accepted",IF('Risk Register'!U49&lt;Methodology!$B$25,"Acceptance review due","Accepted - review scheduled"),IF('Risk Register'!U49&lt;Methodology!$B$25,"Overdue",IF('Risk Register'!U49&lt;=Methodology!$B$25+30,"Due within 30 days","Scheduled")))))))</x:f>
      </x:c>
    </x:row>
    <x:row r="50" ht="40" customHeight="1">
      <x:c r="A50" s="138" t="str">
        <x:f>IF('Risk Register'!A50="","",'Risk Register'!A50)</x:f>
      </x:c>
      <x:c r="B50" s="138" t="str">
        <x:f>IF(A50="","",'Risk Register'!D50)</x:f>
      </x:c>
      <x:c r="C50" s="138" t="str">
        <x:f>IF(A50="","",'Risk Register'!P50)</x:f>
      </x:c>
      <x:c r="D50" s="138" t="str">
        <x:f>IF(A50="","",'Risk Register'!Q50)</x:f>
      </x:c>
      <x:c r="E50" s="138" t="str">
        <x:f>IF(A50="","",'Risk Register'!S50)</x:f>
      </x:c>
      <x:c r="F50" s="138" t="str">
        <x:f>IF(A50="","",'Risk Register'!T50)</x:f>
      </x:c>
      <x:c r="G50" s="187" t="str">
        <x:f>IF(A50="","",IF(ISNUMBER('Risk Register'!U50),IF('Risk Register'!U50&gt;0,'Risk Register'!U50,""),""))</x:f>
      </x:c>
      <x:c r="H50" s="138" t="str">
        <x:f>IF(A50="","",IF(OR(F50="Closed",F50="Accepted"),"",IF(ISNUMBER('Risk Register'!U50),IF('Risk Register'!U50&gt;0,'Risk Register'!U50-Methodology!$B$25,""),"")))</x:f>
      </x:c>
      <x:c r="I50" s="138" t="str">
        <x:f>IF(A50="","",'Risk Register'!R50)</x:f>
      </x:c>
      <x:c r="J50" s="138" t="str">
        <x:f>IF(A50="","",'Risk Register'!X50)</x:f>
      </x:c>
      <x:c r="K50" s="138" t="str">
        <x:f>IF(A50="","",IF('Risk Register'!Y50="","",'Risk Register'!Y50))</x:f>
      </x:c>
      <x:c r="L50" s="138" t="str">
        <x:f>IF(A50="","",IF('Risk Register'!Z50="","",'Risk Register'!Z50))</x:f>
      </x:c>
      <x:c r="M50" s="138" t="str">
        <x:f>IF(A50="","",IF('Risk Register'!AA50="","",'Risk Register'!AA50))</x:f>
      </x:c>
      <x:c r="N50" s="188" t="str">
        <x:f>IF(A50="","",IF('Risk Register'!AB50="","",'Risk Register'!AB50))</x:f>
      </x:c>
      <x:c r="O50" s="138" t="str">
        <x:f>IF(A50="","",IF('Risk Register'!AC50="","",'Risk Register'!AC50))</x:f>
      </x:c>
      <x:c r="P50" s="138" t="str">
        <x:f>IF(A50="","",'Risk Register'!AD50)</x:f>
      </x:c>
      <x:c r="Q50" s="138" t="str">
        <x:f>IF(A50="","",'Risk Register'!AE50)</x:f>
      </x:c>
      <x:c r="R50" s="138" t="str">
        <x:f>IF(A50="","",'Risk Register'!AF50)</x:f>
      </x:c>
      <x:c r="S50" s="138" t="str">
        <x:f>IF(A50="","",'Risk Register'!AG50)</x:f>
      </x:c>
      <x:c r="T50" s="138" t="str">
        <x:f>IF(A50="","",IF(NOT(ISNUMBER('Risk Register'!U50)),"Date needed",IF('Risk Register'!U50&lt;=0,"Date needed",IF('Risk Register'!T50="Closed","Closed",IF('Risk Register'!T50="Accepted",IF('Risk Register'!U50&lt;Methodology!$B$25,"Acceptance review due","Accepted - review scheduled"),IF('Risk Register'!U50&lt;Methodology!$B$25,"Overdue",IF('Risk Register'!U50&lt;=Methodology!$B$25+30,"Due within 30 days","Scheduled")))))))</x:f>
      </x:c>
    </x:row>
    <x:row r="51" ht="40" customHeight="1">
      <x:c r="A51" s="138" t="str">
        <x:f>IF('Risk Register'!A51="","",'Risk Register'!A51)</x:f>
      </x:c>
      <x:c r="B51" s="138" t="str">
        <x:f>IF(A51="","",'Risk Register'!D51)</x:f>
      </x:c>
      <x:c r="C51" s="138" t="str">
        <x:f>IF(A51="","",'Risk Register'!P51)</x:f>
      </x:c>
      <x:c r="D51" s="138" t="str">
        <x:f>IF(A51="","",'Risk Register'!Q51)</x:f>
      </x:c>
      <x:c r="E51" s="138" t="str">
        <x:f>IF(A51="","",'Risk Register'!S51)</x:f>
      </x:c>
      <x:c r="F51" s="138" t="str">
        <x:f>IF(A51="","",'Risk Register'!T51)</x:f>
      </x:c>
      <x:c r="G51" s="187" t="str">
        <x:f>IF(A51="","",IF(ISNUMBER('Risk Register'!U51),IF('Risk Register'!U51&gt;0,'Risk Register'!U51,""),""))</x:f>
      </x:c>
      <x:c r="H51" s="138" t="str">
        <x:f>IF(A51="","",IF(OR(F51="Closed",F51="Accepted"),"",IF(ISNUMBER('Risk Register'!U51),IF('Risk Register'!U51&gt;0,'Risk Register'!U51-Methodology!$B$25,""),"")))</x:f>
      </x:c>
      <x:c r="I51" s="138" t="str">
        <x:f>IF(A51="","",'Risk Register'!R51)</x:f>
      </x:c>
      <x:c r="J51" s="138" t="str">
        <x:f>IF(A51="","",'Risk Register'!X51)</x:f>
      </x:c>
      <x:c r="K51" s="138" t="str">
        <x:f>IF(A51="","",IF('Risk Register'!Y51="","",'Risk Register'!Y51))</x:f>
      </x:c>
      <x:c r="L51" s="138" t="str">
        <x:f>IF(A51="","",IF('Risk Register'!Z51="","",'Risk Register'!Z51))</x:f>
      </x:c>
      <x:c r="M51" s="138" t="str">
        <x:f>IF(A51="","",IF('Risk Register'!AA51="","",'Risk Register'!AA51))</x:f>
      </x:c>
      <x:c r="N51" s="188" t="str">
        <x:f>IF(A51="","",IF('Risk Register'!AB51="","",'Risk Register'!AB51))</x:f>
      </x:c>
      <x:c r="O51" s="138" t="str">
        <x:f>IF(A51="","",IF('Risk Register'!AC51="","",'Risk Register'!AC51))</x:f>
      </x:c>
      <x:c r="P51" s="138" t="str">
        <x:f>IF(A51="","",'Risk Register'!AD51)</x:f>
      </x:c>
      <x:c r="Q51" s="138" t="str">
        <x:f>IF(A51="","",'Risk Register'!AE51)</x:f>
      </x:c>
      <x:c r="R51" s="138" t="str">
        <x:f>IF(A51="","",'Risk Register'!AF51)</x:f>
      </x:c>
      <x:c r="S51" s="138" t="str">
        <x:f>IF(A51="","",'Risk Register'!AG51)</x:f>
      </x:c>
      <x:c r="T51" s="138" t="str">
        <x:f>IF(A51="","",IF(NOT(ISNUMBER('Risk Register'!U51)),"Date needed",IF('Risk Register'!U51&lt;=0,"Date needed",IF('Risk Register'!T51="Closed","Closed",IF('Risk Register'!T51="Accepted",IF('Risk Register'!U51&lt;Methodology!$B$25,"Acceptance review due","Accepted - review scheduled"),IF('Risk Register'!U51&lt;Methodology!$B$25,"Overdue",IF('Risk Register'!U51&lt;=Methodology!$B$25+30,"Due within 30 days","Scheduled")))))))</x:f>
      </x:c>
    </x:row>
    <x:row r="52" ht="40" customHeight="1">
      <x:c r="A52" s="138" t="str">
        <x:f>IF('Risk Register'!A52="","",'Risk Register'!A52)</x:f>
      </x:c>
      <x:c r="B52" s="138" t="str">
        <x:f>IF(A52="","",'Risk Register'!D52)</x:f>
      </x:c>
      <x:c r="C52" s="138" t="str">
        <x:f>IF(A52="","",'Risk Register'!P52)</x:f>
      </x:c>
      <x:c r="D52" s="138" t="str">
        <x:f>IF(A52="","",'Risk Register'!Q52)</x:f>
      </x:c>
      <x:c r="E52" s="138" t="str">
        <x:f>IF(A52="","",'Risk Register'!S52)</x:f>
      </x:c>
      <x:c r="F52" s="138" t="str">
        <x:f>IF(A52="","",'Risk Register'!T52)</x:f>
      </x:c>
      <x:c r="G52" s="187" t="str">
        <x:f>IF(A52="","",IF(ISNUMBER('Risk Register'!U52),IF('Risk Register'!U52&gt;0,'Risk Register'!U52,""),""))</x:f>
      </x:c>
      <x:c r="H52" s="138" t="str">
        <x:f>IF(A52="","",IF(OR(F52="Closed",F52="Accepted"),"",IF(ISNUMBER('Risk Register'!U52),IF('Risk Register'!U52&gt;0,'Risk Register'!U52-Methodology!$B$25,""),"")))</x:f>
      </x:c>
      <x:c r="I52" s="138" t="str">
        <x:f>IF(A52="","",'Risk Register'!R52)</x:f>
      </x:c>
      <x:c r="J52" s="138" t="str">
        <x:f>IF(A52="","",'Risk Register'!X52)</x:f>
      </x:c>
      <x:c r="K52" s="138" t="str">
        <x:f>IF(A52="","",IF('Risk Register'!Y52="","",'Risk Register'!Y52))</x:f>
      </x:c>
      <x:c r="L52" s="138" t="str">
        <x:f>IF(A52="","",IF('Risk Register'!Z52="","",'Risk Register'!Z52))</x:f>
      </x:c>
      <x:c r="M52" s="138" t="str">
        <x:f>IF(A52="","",IF('Risk Register'!AA52="","",'Risk Register'!AA52))</x:f>
      </x:c>
      <x:c r="N52" s="188" t="str">
        <x:f>IF(A52="","",IF('Risk Register'!AB52="","",'Risk Register'!AB52))</x:f>
      </x:c>
      <x:c r="O52" s="138" t="str">
        <x:f>IF(A52="","",IF('Risk Register'!AC52="","",'Risk Register'!AC52))</x:f>
      </x:c>
      <x:c r="P52" s="138" t="str">
        <x:f>IF(A52="","",'Risk Register'!AD52)</x:f>
      </x:c>
      <x:c r="Q52" s="138" t="str">
        <x:f>IF(A52="","",'Risk Register'!AE52)</x:f>
      </x:c>
      <x:c r="R52" s="138" t="str">
        <x:f>IF(A52="","",'Risk Register'!AF52)</x:f>
      </x:c>
      <x:c r="S52" s="138" t="str">
        <x:f>IF(A52="","",'Risk Register'!AG52)</x:f>
      </x:c>
      <x:c r="T52" s="138" t="str">
        <x:f>IF(A52="","",IF(NOT(ISNUMBER('Risk Register'!U52)),"Date needed",IF('Risk Register'!U52&lt;=0,"Date needed",IF('Risk Register'!T52="Closed","Closed",IF('Risk Register'!T52="Accepted",IF('Risk Register'!U52&lt;Methodology!$B$25,"Acceptance review due","Accepted - review scheduled"),IF('Risk Register'!U52&lt;Methodology!$B$25,"Overdue",IF('Risk Register'!U52&lt;=Methodology!$B$25+30,"Due within 30 days","Scheduled")))))))</x:f>
      </x:c>
    </x:row>
    <x:row r="53" ht="40" customHeight="1">
      <x:c r="A53" s="138" t="str">
        <x:f>IF('Risk Register'!A53="","",'Risk Register'!A53)</x:f>
      </x:c>
      <x:c r="B53" s="138" t="str">
        <x:f>IF(A53="","",'Risk Register'!D53)</x:f>
      </x:c>
      <x:c r="C53" s="138" t="str">
        <x:f>IF(A53="","",'Risk Register'!P53)</x:f>
      </x:c>
      <x:c r="D53" s="138" t="str">
        <x:f>IF(A53="","",'Risk Register'!Q53)</x:f>
      </x:c>
      <x:c r="E53" s="138" t="str">
        <x:f>IF(A53="","",'Risk Register'!S53)</x:f>
      </x:c>
      <x:c r="F53" s="138" t="str">
        <x:f>IF(A53="","",'Risk Register'!T53)</x:f>
      </x:c>
      <x:c r="G53" s="187" t="str">
        <x:f>IF(A53="","",IF(ISNUMBER('Risk Register'!U53),IF('Risk Register'!U53&gt;0,'Risk Register'!U53,""),""))</x:f>
      </x:c>
      <x:c r="H53" s="138" t="str">
        <x:f>IF(A53="","",IF(OR(F53="Closed",F53="Accepted"),"",IF(ISNUMBER('Risk Register'!U53),IF('Risk Register'!U53&gt;0,'Risk Register'!U53-Methodology!$B$25,""),"")))</x:f>
      </x:c>
      <x:c r="I53" s="138" t="str">
        <x:f>IF(A53="","",'Risk Register'!R53)</x:f>
      </x:c>
      <x:c r="J53" s="138" t="str">
        <x:f>IF(A53="","",'Risk Register'!X53)</x:f>
      </x:c>
      <x:c r="K53" s="138" t="str">
        <x:f>IF(A53="","",IF('Risk Register'!Y53="","",'Risk Register'!Y53))</x:f>
      </x:c>
      <x:c r="L53" s="138" t="str">
        <x:f>IF(A53="","",IF('Risk Register'!Z53="","",'Risk Register'!Z53))</x:f>
      </x:c>
      <x:c r="M53" s="138" t="str">
        <x:f>IF(A53="","",IF('Risk Register'!AA53="","",'Risk Register'!AA53))</x:f>
      </x:c>
      <x:c r="N53" s="188" t="str">
        <x:f>IF(A53="","",IF('Risk Register'!AB53="","",'Risk Register'!AB53))</x:f>
      </x:c>
      <x:c r="O53" s="138" t="str">
        <x:f>IF(A53="","",IF('Risk Register'!AC53="","",'Risk Register'!AC53))</x:f>
      </x:c>
      <x:c r="P53" s="138" t="str">
        <x:f>IF(A53="","",'Risk Register'!AD53)</x:f>
      </x:c>
      <x:c r="Q53" s="138" t="str">
        <x:f>IF(A53="","",'Risk Register'!AE53)</x:f>
      </x:c>
      <x:c r="R53" s="138" t="str">
        <x:f>IF(A53="","",'Risk Register'!AF53)</x:f>
      </x:c>
      <x:c r="S53" s="138" t="str">
        <x:f>IF(A53="","",'Risk Register'!AG53)</x:f>
      </x:c>
      <x:c r="T53" s="138" t="str">
        <x:f>IF(A53="","",IF(NOT(ISNUMBER('Risk Register'!U53)),"Date needed",IF('Risk Register'!U53&lt;=0,"Date needed",IF('Risk Register'!T53="Closed","Closed",IF('Risk Register'!T53="Accepted",IF('Risk Register'!U53&lt;Methodology!$B$25,"Acceptance review due","Accepted - review scheduled"),IF('Risk Register'!U53&lt;Methodology!$B$25,"Overdue",IF('Risk Register'!U53&lt;=Methodology!$B$25+30,"Due within 30 days","Scheduled")))))))</x:f>
      </x:c>
    </x:row>
    <x:row r="54" ht="40" customHeight="1">
      <x:c r="A54" s="138" t="str">
        <x:f>IF('Risk Register'!A54="","",'Risk Register'!A54)</x:f>
      </x:c>
      <x:c r="B54" s="138" t="str">
        <x:f>IF(A54="","",'Risk Register'!D54)</x:f>
      </x:c>
      <x:c r="C54" s="138" t="str">
        <x:f>IF(A54="","",'Risk Register'!P54)</x:f>
      </x:c>
      <x:c r="D54" s="138" t="str">
        <x:f>IF(A54="","",'Risk Register'!Q54)</x:f>
      </x:c>
      <x:c r="E54" s="138" t="str">
        <x:f>IF(A54="","",'Risk Register'!S54)</x:f>
      </x:c>
      <x:c r="F54" s="138" t="str">
        <x:f>IF(A54="","",'Risk Register'!T54)</x:f>
      </x:c>
      <x:c r="G54" s="187" t="str">
        <x:f>IF(A54="","",IF(ISNUMBER('Risk Register'!U54),IF('Risk Register'!U54&gt;0,'Risk Register'!U54,""),""))</x:f>
      </x:c>
      <x:c r="H54" s="138" t="str">
        <x:f>IF(A54="","",IF(OR(F54="Closed",F54="Accepted"),"",IF(ISNUMBER('Risk Register'!U54),IF('Risk Register'!U54&gt;0,'Risk Register'!U54-Methodology!$B$25,""),"")))</x:f>
      </x:c>
      <x:c r="I54" s="138" t="str">
        <x:f>IF(A54="","",'Risk Register'!R54)</x:f>
      </x:c>
      <x:c r="J54" s="138" t="str">
        <x:f>IF(A54="","",'Risk Register'!X54)</x:f>
      </x:c>
      <x:c r="K54" s="138" t="str">
        <x:f>IF(A54="","",IF('Risk Register'!Y54="","",'Risk Register'!Y54))</x:f>
      </x:c>
      <x:c r="L54" s="138" t="str">
        <x:f>IF(A54="","",IF('Risk Register'!Z54="","",'Risk Register'!Z54))</x:f>
      </x:c>
      <x:c r="M54" s="138" t="str">
        <x:f>IF(A54="","",IF('Risk Register'!AA54="","",'Risk Register'!AA54))</x:f>
      </x:c>
      <x:c r="N54" s="188" t="str">
        <x:f>IF(A54="","",IF('Risk Register'!AB54="","",'Risk Register'!AB54))</x:f>
      </x:c>
      <x:c r="O54" s="138" t="str">
        <x:f>IF(A54="","",IF('Risk Register'!AC54="","",'Risk Register'!AC54))</x:f>
      </x:c>
      <x:c r="P54" s="138" t="str">
        <x:f>IF(A54="","",'Risk Register'!AD54)</x:f>
      </x:c>
      <x:c r="Q54" s="138" t="str">
        <x:f>IF(A54="","",'Risk Register'!AE54)</x:f>
      </x:c>
      <x:c r="R54" s="138" t="str">
        <x:f>IF(A54="","",'Risk Register'!AF54)</x:f>
      </x:c>
      <x:c r="S54" s="138" t="str">
        <x:f>IF(A54="","",'Risk Register'!AG54)</x:f>
      </x:c>
      <x:c r="T54" s="138" t="str">
        <x:f>IF(A54="","",IF(NOT(ISNUMBER('Risk Register'!U54)),"Date needed",IF('Risk Register'!U54&lt;=0,"Date needed",IF('Risk Register'!T54="Closed","Closed",IF('Risk Register'!T54="Accepted",IF('Risk Register'!U54&lt;Methodology!$B$25,"Acceptance review due","Accepted - review scheduled"),IF('Risk Register'!U54&lt;Methodology!$B$25,"Overdue",IF('Risk Register'!U54&lt;=Methodology!$B$25+30,"Due within 30 days","Scheduled")))))))</x:f>
      </x:c>
    </x:row>
    <x:row r="55" ht="40" customHeight="1">
      <x:c r="A55" s="138" t="str">
        <x:f>IF('Risk Register'!A55="","",'Risk Register'!A55)</x:f>
      </x:c>
      <x:c r="B55" s="138" t="str">
        <x:f>IF(A55="","",'Risk Register'!D55)</x:f>
      </x:c>
      <x:c r="C55" s="138" t="str">
        <x:f>IF(A55="","",'Risk Register'!P55)</x:f>
      </x:c>
      <x:c r="D55" s="138" t="str">
        <x:f>IF(A55="","",'Risk Register'!Q55)</x:f>
      </x:c>
      <x:c r="E55" s="138" t="str">
        <x:f>IF(A55="","",'Risk Register'!S55)</x:f>
      </x:c>
      <x:c r="F55" s="138" t="str">
        <x:f>IF(A55="","",'Risk Register'!T55)</x:f>
      </x:c>
      <x:c r="G55" s="187" t="str">
        <x:f>IF(A55="","",IF(ISNUMBER('Risk Register'!U55),IF('Risk Register'!U55&gt;0,'Risk Register'!U55,""),""))</x:f>
      </x:c>
      <x:c r="H55" s="138" t="str">
        <x:f>IF(A55="","",IF(OR(F55="Closed",F55="Accepted"),"",IF(ISNUMBER('Risk Register'!U55),IF('Risk Register'!U55&gt;0,'Risk Register'!U55-Methodology!$B$25,""),"")))</x:f>
      </x:c>
      <x:c r="I55" s="138" t="str">
        <x:f>IF(A55="","",'Risk Register'!R55)</x:f>
      </x:c>
      <x:c r="J55" s="138" t="str">
        <x:f>IF(A55="","",'Risk Register'!X55)</x:f>
      </x:c>
      <x:c r="K55" s="138" t="str">
        <x:f>IF(A55="","",IF('Risk Register'!Y55="","",'Risk Register'!Y55))</x:f>
      </x:c>
      <x:c r="L55" s="138" t="str">
        <x:f>IF(A55="","",IF('Risk Register'!Z55="","",'Risk Register'!Z55))</x:f>
      </x:c>
      <x:c r="M55" s="138" t="str">
        <x:f>IF(A55="","",IF('Risk Register'!AA55="","",'Risk Register'!AA55))</x:f>
      </x:c>
      <x:c r="N55" s="188" t="str">
        <x:f>IF(A55="","",IF('Risk Register'!AB55="","",'Risk Register'!AB55))</x:f>
      </x:c>
      <x:c r="O55" s="138" t="str">
        <x:f>IF(A55="","",IF('Risk Register'!AC55="","",'Risk Register'!AC55))</x:f>
      </x:c>
      <x:c r="P55" s="138" t="str">
        <x:f>IF(A55="","",'Risk Register'!AD55)</x:f>
      </x:c>
      <x:c r="Q55" s="138" t="str">
        <x:f>IF(A55="","",'Risk Register'!AE55)</x:f>
      </x:c>
      <x:c r="R55" s="138" t="str">
        <x:f>IF(A55="","",'Risk Register'!AF55)</x:f>
      </x:c>
      <x:c r="S55" s="138" t="str">
        <x:f>IF(A55="","",'Risk Register'!AG55)</x:f>
      </x:c>
      <x:c r="T55" s="138" t="str">
        <x:f>IF(A55="","",IF(NOT(ISNUMBER('Risk Register'!U55)),"Date needed",IF('Risk Register'!U55&lt;=0,"Date needed",IF('Risk Register'!T55="Closed","Closed",IF('Risk Register'!T55="Accepted",IF('Risk Register'!U55&lt;Methodology!$B$25,"Acceptance review due","Accepted - review scheduled"),IF('Risk Register'!U55&lt;Methodology!$B$25,"Overdue",IF('Risk Register'!U55&lt;=Methodology!$B$25+30,"Due within 30 days","Scheduled")))))))</x:f>
      </x:c>
    </x:row>
    <x:row r="56" ht="40" customHeight="1">
      <x:c r="A56" s="138" t="str">
        <x:f>IF('Risk Register'!A56="","",'Risk Register'!A56)</x:f>
      </x:c>
      <x:c r="B56" s="138" t="str">
        <x:f>IF(A56="","",'Risk Register'!D56)</x:f>
      </x:c>
      <x:c r="C56" s="138" t="str">
        <x:f>IF(A56="","",'Risk Register'!P56)</x:f>
      </x:c>
      <x:c r="D56" s="138" t="str">
        <x:f>IF(A56="","",'Risk Register'!Q56)</x:f>
      </x:c>
      <x:c r="E56" s="138" t="str">
        <x:f>IF(A56="","",'Risk Register'!S56)</x:f>
      </x:c>
      <x:c r="F56" s="138" t="str">
        <x:f>IF(A56="","",'Risk Register'!T56)</x:f>
      </x:c>
      <x:c r="G56" s="187" t="str">
        <x:f>IF(A56="","",IF(ISNUMBER('Risk Register'!U56),IF('Risk Register'!U56&gt;0,'Risk Register'!U56,""),""))</x:f>
      </x:c>
      <x:c r="H56" s="138" t="str">
        <x:f>IF(A56="","",IF(OR(F56="Closed",F56="Accepted"),"",IF(ISNUMBER('Risk Register'!U56),IF('Risk Register'!U56&gt;0,'Risk Register'!U56-Methodology!$B$25,""),"")))</x:f>
      </x:c>
      <x:c r="I56" s="138" t="str">
        <x:f>IF(A56="","",'Risk Register'!R56)</x:f>
      </x:c>
      <x:c r="J56" s="138" t="str">
        <x:f>IF(A56="","",'Risk Register'!X56)</x:f>
      </x:c>
      <x:c r="K56" s="138" t="str">
        <x:f>IF(A56="","",IF('Risk Register'!Y56="","",'Risk Register'!Y56))</x:f>
      </x:c>
      <x:c r="L56" s="138" t="str">
        <x:f>IF(A56="","",IF('Risk Register'!Z56="","",'Risk Register'!Z56))</x:f>
      </x:c>
      <x:c r="M56" s="138" t="str">
        <x:f>IF(A56="","",IF('Risk Register'!AA56="","",'Risk Register'!AA56))</x:f>
      </x:c>
      <x:c r="N56" s="188" t="str">
        <x:f>IF(A56="","",IF('Risk Register'!AB56="","",'Risk Register'!AB56))</x:f>
      </x:c>
      <x:c r="O56" s="138" t="str">
        <x:f>IF(A56="","",IF('Risk Register'!AC56="","",'Risk Register'!AC56))</x:f>
      </x:c>
      <x:c r="P56" s="138" t="str">
        <x:f>IF(A56="","",'Risk Register'!AD56)</x:f>
      </x:c>
      <x:c r="Q56" s="138" t="str">
        <x:f>IF(A56="","",'Risk Register'!AE56)</x:f>
      </x:c>
      <x:c r="R56" s="138" t="str">
        <x:f>IF(A56="","",'Risk Register'!AF56)</x:f>
      </x:c>
      <x:c r="S56" s="138" t="str">
        <x:f>IF(A56="","",'Risk Register'!AG56)</x:f>
      </x:c>
      <x:c r="T56" s="138" t="str">
        <x:f>IF(A56="","",IF(NOT(ISNUMBER('Risk Register'!U56)),"Date needed",IF('Risk Register'!U56&lt;=0,"Date needed",IF('Risk Register'!T56="Closed","Closed",IF('Risk Register'!T56="Accepted",IF('Risk Register'!U56&lt;Methodology!$B$25,"Acceptance review due","Accepted - review scheduled"),IF('Risk Register'!U56&lt;Methodology!$B$25,"Overdue",IF('Risk Register'!U56&lt;=Methodology!$B$25+30,"Due within 30 days","Scheduled")))))))</x:f>
      </x:c>
    </x:row>
    <x:row r="57" ht="40" customHeight="1">
      <x:c r="A57" s="138" t="str">
        <x:f>IF('Risk Register'!A57="","",'Risk Register'!A57)</x:f>
      </x:c>
      <x:c r="B57" s="138" t="str">
        <x:f>IF(A57="","",'Risk Register'!D57)</x:f>
      </x:c>
      <x:c r="C57" s="138" t="str">
        <x:f>IF(A57="","",'Risk Register'!P57)</x:f>
      </x:c>
      <x:c r="D57" s="138" t="str">
        <x:f>IF(A57="","",'Risk Register'!Q57)</x:f>
      </x:c>
      <x:c r="E57" s="138" t="str">
        <x:f>IF(A57="","",'Risk Register'!S57)</x:f>
      </x:c>
      <x:c r="F57" s="138" t="str">
        <x:f>IF(A57="","",'Risk Register'!T57)</x:f>
      </x:c>
      <x:c r="G57" s="187" t="str">
        <x:f>IF(A57="","",IF(ISNUMBER('Risk Register'!U57),IF('Risk Register'!U57&gt;0,'Risk Register'!U57,""),""))</x:f>
      </x:c>
      <x:c r="H57" s="138" t="str">
        <x:f>IF(A57="","",IF(OR(F57="Closed",F57="Accepted"),"",IF(ISNUMBER('Risk Register'!U57),IF('Risk Register'!U57&gt;0,'Risk Register'!U57-Methodology!$B$25,""),"")))</x:f>
      </x:c>
      <x:c r="I57" s="138" t="str">
        <x:f>IF(A57="","",'Risk Register'!R57)</x:f>
      </x:c>
      <x:c r="J57" s="138" t="str">
        <x:f>IF(A57="","",'Risk Register'!X57)</x:f>
      </x:c>
      <x:c r="K57" s="138" t="str">
        <x:f>IF(A57="","",IF('Risk Register'!Y57="","",'Risk Register'!Y57))</x:f>
      </x:c>
      <x:c r="L57" s="138" t="str">
        <x:f>IF(A57="","",IF('Risk Register'!Z57="","",'Risk Register'!Z57))</x:f>
      </x:c>
      <x:c r="M57" s="138" t="str">
        <x:f>IF(A57="","",IF('Risk Register'!AA57="","",'Risk Register'!AA57))</x:f>
      </x:c>
      <x:c r="N57" s="188" t="str">
        <x:f>IF(A57="","",IF('Risk Register'!AB57="","",'Risk Register'!AB57))</x:f>
      </x:c>
      <x:c r="O57" s="138" t="str">
        <x:f>IF(A57="","",IF('Risk Register'!AC57="","",'Risk Register'!AC57))</x:f>
      </x:c>
      <x:c r="P57" s="138" t="str">
        <x:f>IF(A57="","",'Risk Register'!AD57)</x:f>
      </x:c>
      <x:c r="Q57" s="138" t="str">
        <x:f>IF(A57="","",'Risk Register'!AE57)</x:f>
      </x:c>
      <x:c r="R57" s="138" t="str">
        <x:f>IF(A57="","",'Risk Register'!AF57)</x:f>
      </x:c>
      <x:c r="S57" s="138" t="str">
        <x:f>IF(A57="","",'Risk Register'!AG57)</x:f>
      </x:c>
      <x:c r="T57" s="138" t="str">
        <x:f>IF(A57="","",IF(NOT(ISNUMBER('Risk Register'!U57)),"Date needed",IF('Risk Register'!U57&lt;=0,"Date needed",IF('Risk Register'!T57="Closed","Closed",IF('Risk Register'!T57="Accepted",IF('Risk Register'!U57&lt;Methodology!$B$25,"Acceptance review due","Accepted - review scheduled"),IF('Risk Register'!U57&lt;Methodology!$B$25,"Overdue",IF('Risk Register'!U57&lt;=Methodology!$B$25+30,"Due within 30 days","Scheduled")))))))</x:f>
      </x:c>
    </x:row>
    <x:row r="58" ht="40" customHeight="1">
      <x:c r="A58" s="138" t="str">
        <x:f>IF('Risk Register'!A58="","",'Risk Register'!A58)</x:f>
      </x:c>
      <x:c r="B58" s="138" t="str">
        <x:f>IF(A58="","",'Risk Register'!D58)</x:f>
      </x:c>
      <x:c r="C58" s="138" t="str">
        <x:f>IF(A58="","",'Risk Register'!P58)</x:f>
      </x:c>
      <x:c r="D58" s="138" t="str">
        <x:f>IF(A58="","",'Risk Register'!Q58)</x:f>
      </x:c>
      <x:c r="E58" s="138" t="str">
        <x:f>IF(A58="","",'Risk Register'!S58)</x:f>
      </x:c>
      <x:c r="F58" s="138" t="str">
        <x:f>IF(A58="","",'Risk Register'!T58)</x:f>
      </x:c>
      <x:c r="G58" s="187" t="str">
        <x:f>IF(A58="","",IF(ISNUMBER('Risk Register'!U58),IF('Risk Register'!U58&gt;0,'Risk Register'!U58,""),""))</x:f>
      </x:c>
      <x:c r="H58" s="138" t="str">
        <x:f>IF(A58="","",IF(OR(F58="Closed",F58="Accepted"),"",IF(ISNUMBER('Risk Register'!U58),IF('Risk Register'!U58&gt;0,'Risk Register'!U58-Methodology!$B$25,""),"")))</x:f>
      </x:c>
      <x:c r="I58" s="138" t="str">
        <x:f>IF(A58="","",'Risk Register'!R58)</x:f>
      </x:c>
      <x:c r="J58" s="138" t="str">
        <x:f>IF(A58="","",'Risk Register'!X58)</x:f>
      </x:c>
      <x:c r="K58" s="138" t="str">
        <x:f>IF(A58="","",IF('Risk Register'!Y58="","",'Risk Register'!Y58))</x:f>
      </x:c>
      <x:c r="L58" s="138" t="str">
        <x:f>IF(A58="","",IF('Risk Register'!Z58="","",'Risk Register'!Z58))</x:f>
      </x:c>
      <x:c r="M58" s="138" t="str">
        <x:f>IF(A58="","",IF('Risk Register'!AA58="","",'Risk Register'!AA58))</x:f>
      </x:c>
      <x:c r="N58" s="188" t="str">
        <x:f>IF(A58="","",IF('Risk Register'!AB58="","",'Risk Register'!AB58))</x:f>
      </x:c>
      <x:c r="O58" s="138" t="str">
        <x:f>IF(A58="","",IF('Risk Register'!AC58="","",'Risk Register'!AC58))</x:f>
      </x:c>
      <x:c r="P58" s="138" t="str">
        <x:f>IF(A58="","",'Risk Register'!AD58)</x:f>
      </x:c>
      <x:c r="Q58" s="138" t="str">
        <x:f>IF(A58="","",'Risk Register'!AE58)</x:f>
      </x:c>
      <x:c r="R58" s="138" t="str">
        <x:f>IF(A58="","",'Risk Register'!AF58)</x:f>
      </x:c>
      <x:c r="S58" s="138" t="str">
        <x:f>IF(A58="","",'Risk Register'!AG58)</x:f>
      </x:c>
      <x:c r="T58" s="138" t="str">
        <x:f>IF(A58="","",IF(NOT(ISNUMBER('Risk Register'!U58)),"Date needed",IF('Risk Register'!U58&lt;=0,"Date needed",IF('Risk Register'!T58="Closed","Closed",IF('Risk Register'!T58="Accepted",IF('Risk Register'!U58&lt;Methodology!$B$25,"Acceptance review due","Accepted - review scheduled"),IF('Risk Register'!U58&lt;Methodology!$B$25,"Overdue",IF('Risk Register'!U58&lt;=Methodology!$B$25+30,"Due within 30 days","Scheduled")))))))</x:f>
      </x:c>
    </x:row>
    <x:row r="59" ht="40" customHeight="1">
      <x:c r="A59" s="138" t="str">
        <x:f>IF('Risk Register'!A59="","",'Risk Register'!A59)</x:f>
      </x:c>
      <x:c r="B59" s="138" t="str">
        <x:f>IF(A59="","",'Risk Register'!D59)</x:f>
      </x:c>
      <x:c r="C59" s="138" t="str">
        <x:f>IF(A59="","",'Risk Register'!P59)</x:f>
      </x:c>
      <x:c r="D59" s="138" t="str">
        <x:f>IF(A59="","",'Risk Register'!Q59)</x:f>
      </x:c>
      <x:c r="E59" s="138" t="str">
        <x:f>IF(A59="","",'Risk Register'!S59)</x:f>
      </x:c>
      <x:c r="F59" s="138" t="str">
        <x:f>IF(A59="","",'Risk Register'!T59)</x:f>
      </x:c>
      <x:c r="G59" s="187" t="str">
        <x:f>IF(A59="","",IF(ISNUMBER('Risk Register'!U59),IF('Risk Register'!U59&gt;0,'Risk Register'!U59,""),""))</x:f>
      </x:c>
      <x:c r="H59" s="138" t="str">
        <x:f>IF(A59="","",IF(OR(F59="Closed",F59="Accepted"),"",IF(ISNUMBER('Risk Register'!U59),IF('Risk Register'!U59&gt;0,'Risk Register'!U59-Methodology!$B$25,""),"")))</x:f>
      </x:c>
      <x:c r="I59" s="138" t="str">
        <x:f>IF(A59="","",'Risk Register'!R59)</x:f>
      </x:c>
      <x:c r="J59" s="138" t="str">
        <x:f>IF(A59="","",'Risk Register'!X59)</x:f>
      </x:c>
      <x:c r="K59" s="138" t="str">
        <x:f>IF(A59="","",IF('Risk Register'!Y59="","",'Risk Register'!Y59))</x:f>
      </x:c>
      <x:c r="L59" s="138" t="str">
        <x:f>IF(A59="","",IF('Risk Register'!Z59="","",'Risk Register'!Z59))</x:f>
      </x:c>
      <x:c r="M59" s="138" t="str">
        <x:f>IF(A59="","",IF('Risk Register'!AA59="","",'Risk Register'!AA59))</x:f>
      </x:c>
      <x:c r="N59" s="188" t="str">
        <x:f>IF(A59="","",IF('Risk Register'!AB59="","",'Risk Register'!AB59))</x:f>
      </x:c>
      <x:c r="O59" s="138" t="str">
        <x:f>IF(A59="","",IF('Risk Register'!AC59="","",'Risk Register'!AC59))</x:f>
      </x:c>
      <x:c r="P59" s="138" t="str">
        <x:f>IF(A59="","",'Risk Register'!AD59)</x:f>
      </x:c>
      <x:c r="Q59" s="138" t="str">
        <x:f>IF(A59="","",'Risk Register'!AE59)</x:f>
      </x:c>
      <x:c r="R59" s="138" t="str">
        <x:f>IF(A59="","",'Risk Register'!AF59)</x:f>
      </x:c>
      <x:c r="S59" s="138" t="str">
        <x:f>IF(A59="","",'Risk Register'!AG59)</x:f>
      </x:c>
      <x:c r="T59" s="138" t="str">
        <x:f>IF(A59="","",IF(NOT(ISNUMBER('Risk Register'!U59)),"Date needed",IF('Risk Register'!U59&lt;=0,"Date needed",IF('Risk Register'!T59="Closed","Closed",IF('Risk Register'!T59="Accepted",IF('Risk Register'!U59&lt;Methodology!$B$25,"Acceptance review due","Accepted - review scheduled"),IF('Risk Register'!U59&lt;Methodology!$B$25,"Overdue",IF('Risk Register'!U59&lt;=Methodology!$B$25+30,"Due within 30 days","Scheduled")))))))</x:f>
      </x:c>
    </x:row>
    <x:row r="60" ht="40" customHeight="1">
      <x:c r="A60" s="138" t="str">
        <x:f>IF('Risk Register'!A60="","",'Risk Register'!A60)</x:f>
      </x:c>
      <x:c r="B60" s="138" t="str">
        <x:f>IF(A60="","",'Risk Register'!D60)</x:f>
      </x:c>
      <x:c r="C60" s="138" t="str">
        <x:f>IF(A60="","",'Risk Register'!P60)</x:f>
      </x:c>
      <x:c r="D60" s="138" t="str">
        <x:f>IF(A60="","",'Risk Register'!Q60)</x:f>
      </x:c>
      <x:c r="E60" s="138" t="str">
        <x:f>IF(A60="","",'Risk Register'!S60)</x:f>
      </x:c>
      <x:c r="F60" s="138" t="str">
        <x:f>IF(A60="","",'Risk Register'!T60)</x:f>
      </x:c>
      <x:c r="G60" s="187" t="str">
        <x:f>IF(A60="","",IF(ISNUMBER('Risk Register'!U60),IF('Risk Register'!U60&gt;0,'Risk Register'!U60,""),""))</x:f>
      </x:c>
      <x:c r="H60" s="138" t="str">
        <x:f>IF(A60="","",IF(OR(F60="Closed",F60="Accepted"),"",IF(ISNUMBER('Risk Register'!U60),IF('Risk Register'!U60&gt;0,'Risk Register'!U60-Methodology!$B$25,""),"")))</x:f>
      </x:c>
      <x:c r="I60" s="138" t="str">
        <x:f>IF(A60="","",'Risk Register'!R60)</x:f>
      </x:c>
      <x:c r="J60" s="138" t="str">
        <x:f>IF(A60="","",'Risk Register'!X60)</x:f>
      </x:c>
      <x:c r="K60" s="138" t="str">
        <x:f>IF(A60="","",IF('Risk Register'!Y60="","",'Risk Register'!Y60))</x:f>
      </x:c>
      <x:c r="L60" s="138" t="str">
        <x:f>IF(A60="","",IF('Risk Register'!Z60="","",'Risk Register'!Z60))</x:f>
      </x:c>
      <x:c r="M60" s="138" t="str">
        <x:f>IF(A60="","",IF('Risk Register'!AA60="","",'Risk Register'!AA60))</x:f>
      </x:c>
      <x:c r="N60" s="188" t="str">
        <x:f>IF(A60="","",IF('Risk Register'!AB60="","",'Risk Register'!AB60))</x:f>
      </x:c>
      <x:c r="O60" s="138" t="str">
        <x:f>IF(A60="","",IF('Risk Register'!AC60="","",'Risk Register'!AC60))</x:f>
      </x:c>
      <x:c r="P60" s="138" t="str">
        <x:f>IF(A60="","",'Risk Register'!AD60)</x:f>
      </x:c>
      <x:c r="Q60" s="138" t="str">
        <x:f>IF(A60="","",'Risk Register'!AE60)</x:f>
      </x:c>
      <x:c r="R60" s="138" t="str">
        <x:f>IF(A60="","",'Risk Register'!AF60)</x:f>
      </x:c>
      <x:c r="S60" s="138" t="str">
        <x:f>IF(A60="","",'Risk Register'!AG60)</x:f>
      </x:c>
      <x:c r="T60" s="138" t="str">
        <x:f>IF(A60="","",IF(NOT(ISNUMBER('Risk Register'!U60)),"Date needed",IF('Risk Register'!U60&lt;=0,"Date needed",IF('Risk Register'!T60="Closed","Closed",IF('Risk Register'!T60="Accepted",IF('Risk Register'!U60&lt;Methodology!$B$25,"Acceptance review due","Accepted - review scheduled"),IF('Risk Register'!U60&lt;Methodology!$B$25,"Overdue",IF('Risk Register'!U60&lt;=Methodology!$B$25+30,"Due within 30 days","Scheduled")))))))</x:f>
      </x:c>
    </x:row>
    <x:row r="61" ht="40" customHeight="1">
      <x:c r="A61" s="138" t="str">
        <x:f>IF('Risk Register'!A61="","",'Risk Register'!A61)</x:f>
      </x:c>
      <x:c r="B61" s="138" t="str">
        <x:f>IF(A61="","",'Risk Register'!D61)</x:f>
      </x:c>
      <x:c r="C61" s="138" t="str">
        <x:f>IF(A61="","",'Risk Register'!P61)</x:f>
      </x:c>
      <x:c r="D61" s="138" t="str">
        <x:f>IF(A61="","",'Risk Register'!Q61)</x:f>
      </x:c>
      <x:c r="E61" s="138" t="str">
        <x:f>IF(A61="","",'Risk Register'!S61)</x:f>
      </x:c>
      <x:c r="F61" s="138" t="str">
        <x:f>IF(A61="","",'Risk Register'!T61)</x:f>
      </x:c>
      <x:c r="G61" s="187" t="str">
        <x:f>IF(A61="","",IF(ISNUMBER('Risk Register'!U61),IF('Risk Register'!U61&gt;0,'Risk Register'!U61,""),""))</x:f>
      </x:c>
      <x:c r="H61" s="138" t="str">
        <x:f>IF(A61="","",IF(OR(F61="Closed",F61="Accepted"),"",IF(ISNUMBER('Risk Register'!U61),IF('Risk Register'!U61&gt;0,'Risk Register'!U61-Methodology!$B$25,""),"")))</x:f>
      </x:c>
      <x:c r="I61" s="138" t="str">
        <x:f>IF(A61="","",'Risk Register'!R61)</x:f>
      </x:c>
      <x:c r="J61" s="138" t="str">
        <x:f>IF(A61="","",'Risk Register'!X61)</x:f>
      </x:c>
      <x:c r="K61" s="138" t="str">
        <x:f>IF(A61="","",IF('Risk Register'!Y61="","",'Risk Register'!Y61))</x:f>
      </x:c>
      <x:c r="L61" s="138" t="str">
        <x:f>IF(A61="","",IF('Risk Register'!Z61="","",'Risk Register'!Z61))</x:f>
      </x:c>
      <x:c r="M61" s="138" t="str">
        <x:f>IF(A61="","",IF('Risk Register'!AA61="","",'Risk Register'!AA61))</x:f>
      </x:c>
      <x:c r="N61" s="188" t="str">
        <x:f>IF(A61="","",IF('Risk Register'!AB61="","",'Risk Register'!AB61))</x:f>
      </x:c>
      <x:c r="O61" s="138" t="str">
        <x:f>IF(A61="","",IF('Risk Register'!AC61="","",'Risk Register'!AC61))</x:f>
      </x:c>
      <x:c r="P61" s="138" t="str">
        <x:f>IF(A61="","",'Risk Register'!AD61)</x:f>
      </x:c>
      <x:c r="Q61" s="138" t="str">
        <x:f>IF(A61="","",'Risk Register'!AE61)</x:f>
      </x:c>
      <x:c r="R61" s="138" t="str">
        <x:f>IF(A61="","",'Risk Register'!AF61)</x:f>
      </x:c>
      <x:c r="S61" s="138" t="str">
        <x:f>IF(A61="","",'Risk Register'!AG61)</x:f>
      </x:c>
      <x:c r="T61" s="138" t="str">
        <x:f>IF(A61="","",IF(NOT(ISNUMBER('Risk Register'!U61)),"Date needed",IF('Risk Register'!U61&lt;=0,"Date needed",IF('Risk Register'!T61="Closed","Closed",IF('Risk Register'!T61="Accepted",IF('Risk Register'!U61&lt;Methodology!$B$25,"Acceptance review due","Accepted - review scheduled"),IF('Risk Register'!U61&lt;Methodology!$B$25,"Overdue",IF('Risk Register'!U61&lt;=Methodology!$B$25+30,"Due within 30 days","Scheduled")))))))</x:f>
      </x:c>
    </x:row>
    <x:row r="62" ht="40" customHeight="1">
      <x:c r="A62" s="138" t="str">
        <x:f>IF('Risk Register'!A62="","",'Risk Register'!A62)</x:f>
      </x:c>
      <x:c r="B62" s="138" t="str">
        <x:f>IF(A62="","",'Risk Register'!D62)</x:f>
      </x:c>
      <x:c r="C62" s="138" t="str">
        <x:f>IF(A62="","",'Risk Register'!P62)</x:f>
      </x:c>
      <x:c r="D62" s="138" t="str">
        <x:f>IF(A62="","",'Risk Register'!Q62)</x:f>
      </x:c>
      <x:c r="E62" s="138" t="str">
        <x:f>IF(A62="","",'Risk Register'!S62)</x:f>
      </x:c>
      <x:c r="F62" s="138" t="str">
        <x:f>IF(A62="","",'Risk Register'!T62)</x:f>
      </x:c>
      <x:c r="G62" s="187" t="str">
        <x:f>IF(A62="","",IF(ISNUMBER('Risk Register'!U62),IF('Risk Register'!U62&gt;0,'Risk Register'!U62,""),""))</x:f>
      </x:c>
      <x:c r="H62" s="138" t="str">
        <x:f>IF(A62="","",IF(OR(F62="Closed",F62="Accepted"),"",IF(ISNUMBER('Risk Register'!U62),IF('Risk Register'!U62&gt;0,'Risk Register'!U62-Methodology!$B$25,""),"")))</x:f>
      </x:c>
      <x:c r="I62" s="138" t="str">
        <x:f>IF(A62="","",'Risk Register'!R62)</x:f>
      </x:c>
      <x:c r="J62" s="138" t="str">
        <x:f>IF(A62="","",'Risk Register'!X62)</x:f>
      </x:c>
      <x:c r="K62" s="138" t="str">
        <x:f>IF(A62="","",IF('Risk Register'!Y62="","",'Risk Register'!Y62))</x:f>
      </x:c>
      <x:c r="L62" s="138" t="str">
        <x:f>IF(A62="","",IF('Risk Register'!Z62="","",'Risk Register'!Z62))</x:f>
      </x:c>
      <x:c r="M62" s="138" t="str">
        <x:f>IF(A62="","",IF('Risk Register'!AA62="","",'Risk Register'!AA62))</x:f>
      </x:c>
      <x:c r="N62" s="188" t="str">
        <x:f>IF(A62="","",IF('Risk Register'!AB62="","",'Risk Register'!AB62))</x:f>
      </x:c>
      <x:c r="O62" s="138" t="str">
        <x:f>IF(A62="","",IF('Risk Register'!AC62="","",'Risk Register'!AC62))</x:f>
      </x:c>
      <x:c r="P62" s="138" t="str">
        <x:f>IF(A62="","",'Risk Register'!AD62)</x:f>
      </x:c>
      <x:c r="Q62" s="138" t="str">
        <x:f>IF(A62="","",'Risk Register'!AE62)</x:f>
      </x:c>
      <x:c r="R62" s="138" t="str">
        <x:f>IF(A62="","",'Risk Register'!AF62)</x:f>
      </x:c>
      <x:c r="S62" s="138" t="str">
        <x:f>IF(A62="","",'Risk Register'!AG62)</x:f>
      </x:c>
      <x:c r="T62" s="138" t="str">
        <x:f>IF(A62="","",IF(NOT(ISNUMBER('Risk Register'!U62)),"Date needed",IF('Risk Register'!U62&lt;=0,"Date needed",IF('Risk Register'!T62="Closed","Closed",IF('Risk Register'!T62="Accepted",IF('Risk Register'!U62&lt;Methodology!$B$25,"Acceptance review due","Accepted - review scheduled"),IF('Risk Register'!U62&lt;Methodology!$B$25,"Overdue",IF('Risk Register'!U62&lt;=Methodology!$B$25+30,"Due within 30 days","Scheduled")))))))</x:f>
      </x:c>
    </x:row>
    <x:row r="63" ht="40" customHeight="1">
      <x:c r="A63" s="138" t="str">
        <x:f>IF('Risk Register'!A63="","",'Risk Register'!A63)</x:f>
      </x:c>
      <x:c r="B63" s="138" t="str">
        <x:f>IF(A63="","",'Risk Register'!D63)</x:f>
      </x:c>
      <x:c r="C63" s="138" t="str">
        <x:f>IF(A63="","",'Risk Register'!P63)</x:f>
      </x:c>
      <x:c r="D63" s="138" t="str">
        <x:f>IF(A63="","",'Risk Register'!Q63)</x:f>
      </x:c>
      <x:c r="E63" s="138" t="str">
        <x:f>IF(A63="","",'Risk Register'!S63)</x:f>
      </x:c>
      <x:c r="F63" s="138" t="str">
        <x:f>IF(A63="","",'Risk Register'!T63)</x:f>
      </x:c>
      <x:c r="G63" s="187" t="str">
        <x:f>IF(A63="","",IF(ISNUMBER('Risk Register'!U63),IF('Risk Register'!U63&gt;0,'Risk Register'!U63,""),""))</x:f>
      </x:c>
      <x:c r="H63" s="138" t="str">
        <x:f>IF(A63="","",IF(OR(F63="Closed",F63="Accepted"),"",IF(ISNUMBER('Risk Register'!U63),IF('Risk Register'!U63&gt;0,'Risk Register'!U63-Methodology!$B$25,""),"")))</x:f>
      </x:c>
      <x:c r="I63" s="138" t="str">
        <x:f>IF(A63="","",'Risk Register'!R63)</x:f>
      </x:c>
      <x:c r="J63" s="138" t="str">
        <x:f>IF(A63="","",'Risk Register'!X63)</x:f>
      </x:c>
      <x:c r="K63" s="138" t="str">
        <x:f>IF(A63="","",IF('Risk Register'!Y63="","",'Risk Register'!Y63))</x:f>
      </x:c>
      <x:c r="L63" s="138" t="str">
        <x:f>IF(A63="","",IF('Risk Register'!Z63="","",'Risk Register'!Z63))</x:f>
      </x:c>
      <x:c r="M63" s="138" t="str">
        <x:f>IF(A63="","",IF('Risk Register'!AA63="","",'Risk Register'!AA63))</x:f>
      </x:c>
      <x:c r="N63" s="188" t="str">
        <x:f>IF(A63="","",IF('Risk Register'!AB63="","",'Risk Register'!AB63))</x:f>
      </x:c>
      <x:c r="O63" s="138" t="str">
        <x:f>IF(A63="","",IF('Risk Register'!AC63="","",'Risk Register'!AC63))</x:f>
      </x:c>
      <x:c r="P63" s="138" t="str">
        <x:f>IF(A63="","",'Risk Register'!AD63)</x:f>
      </x:c>
      <x:c r="Q63" s="138" t="str">
        <x:f>IF(A63="","",'Risk Register'!AE63)</x:f>
      </x:c>
      <x:c r="R63" s="138" t="str">
        <x:f>IF(A63="","",'Risk Register'!AF63)</x:f>
      </x:c>
      <x:c r="S63" s="138" t="str">
        <x:f>IF(A63="","",'Risk Register'!AG63)</x:f>
      </x:c>
      <x:c r="T63" s="138" t="str">
        <x:f>IF(A63="","",IF(NOT(ISNUMBER('Risk Register'!U63)),"Date needed",IF('Risk Register'!U63&lt;=0,"Date needed",IF('Risk Register'!T63="Closed","Closed",IF('Risk Register'!T63="Accepted",IF('Risk Register'!U63&lt;Methodology!$B$25,"Acceptance review due","Accepted - review scheduled"),IF('Risk Register'!U63&lt;Methodology!$B$25,"Overdue",IF('Risk Register'!U63&lt;=Methodology!$B$25+30,"Due within 30 days","Scheduled")))))))</x:f>
      </x:c>
    </x:row>
    <x:row r="64" ht="40" customHeight="1">
      <x:c r="A64" s="138" t="str">
        <x:f>IF('Risk Register'!A64="","",'Risk Register'!A64)</x:f>
      </x:c>
      <x:c r="B64" s="138" t="str">
        <x:f>IF(A64="","",'Risk Register'!D64)</x:f>
      </x:c>
      <x:c r="C64" s="138" t="str">
        <x:f>IF(A64="","",'Risk Register'!P64)</x:f>
      </x:c>
      <x:c r="D64" s="138" t="str">
        <x:f>IF(A64="","",'Risk Register'!Q64)</x:f>
      </x:c>
      <x:c r="E64" s="138" t="str">
        <x:f>IF(A64="","",'Risk Register'!S64)</x:f>
      </x:c>
      <x:c r="F64" s="138" t="str">
        <x:f>IF(A64="","",'Risk Register'!T64)</x:f>
      </x:c>
      <x:c r="G64" s="187" t="str">
        <x:f>IF(A64="","",IF(ISNUMBER('Risk Register'!U64),IF('Risk Register'!U64&gt;0,'Risk Register'!U64,""),""))</x:f>
      </x:c>
      <x:c r="H64" s="138" t="str">
        <x:f>IF(A64="","",IF(OR(F64="Closed",F64="Accepted"),"",IF(ISNUMBER('Risk Register'!U64),IF('Risk Register'!U64&gt;0,'Risk Register'!U64-Methodology!$B$25,""),"")))</x:f>
      </x:c>
      <x:c r="I64" s="138" t="str">
        <x:f>IF(A64="","",'Risk Register'!R64)</x:f>
      </x:c>
      <x:c r="J64" s="138" t="str">
        <x:f>IF(A64="","",'Risk Register'!X64)</x:f>
      </x:c>
      <x:c r="K64" s="138" t="str">
        <x:f>IF(A64="","",IF('Risk Register'!Y64="","",'Risk Register'!Y64))</x:f>
      </x:c>
      <x:c r="L64" s="138" t="str">
        <x:f>IF(A64="","",IF('Risk Register'!Z64="","",'Risk Register'!Z64))</x:f>
      </x:c>
      <x:c r="M64" s="138" t="str">
        <x:f>IF(A64="","",IF('Risk Register'!AA64="","",'Risk Register'!AA64))</x:f>
      </x:c>
      <x:c r="N64" s="188" t="str">
        <x:f>IF(A64="","",IF('Risk Register'!AB64="","",'Risk Register'!AB64))</x:f>
      </x:c>
      <x:c r="O64" s="138" t="str">
        <x:f>IF(A64="","",IF('Risk Register'!AC64="","",'Risk Register'!AC64))</x:f>
      </x:c>
      <x:c r="P64" s="138" t="str">
        <x:f>IF(A64="","",'Risk Register'!AD64)</x:f>
      </x:c>
      <x:c r="Q64" s="138" t="str">
        <x:f>IF(A64="","",'Risk Register'!AE64)</x:f>
      </x:c>
      <x:c r="R64" s="138" t="str">
        <x:f>IF(A64="","",'Risk Register'!AF64)</x:f>
      </x:c>
      <x:c r="S64" s="138" t="str">
        <x:f>IF(A64="","",'Risk Register'!AG64)</x:f>
      </x:c>
      <x:c r="T64" s="138" t="str">
        <x:f>IF(A64="","",IF(NOT(ISNUMBER('Risk Register'!U64)),"Date needed",IF('Risk Register'!U64&lt;=0,"Date needed",IF('Risk Register'!T64="Closed","Closed",IF('Risk Register'!T64="Accepted",IF('Risk Register'!U64&lt;Methodology!$B$25,"Acceptance review due","Accepted - review scheduled"),IF('Risk Register'!U64&lt;Methodology!$B$25,"Overdue",IF('Risk Register'!U64&lt;=Methodology!$B$25+30,"Due within 30 days","Scheduled")))))))</x:f>
      </x:c>
    </x:row>
    <x:row r="65" ht="40" customHeight="1">
      <x:c r="A65" s="138" t="str">
        <x:f>IF('Risk Register'!A65="","",'Risk Register'!A65)</x:f>
      </x:c>
      <x:c r="B65" s="138" t="str">
        <x:f>IF(A65="","",'Risk Register'!D65)</x:f>
      </x:c>
      <x:c r="C65" s="138" t="str">
        <x:f>IF(A65="","",'Risk Register'!P65)</x:f>
      </x:c>
      <x:c r="D65" s="138" t="str">
        <x:f>IF(A65="","",'Risk Register'!Q65)</x:f>
      </x:c>
      <x:c r="E65" s="138" t="str">
        <x:f>IF(A65="","",'Risk Register'!S65)</x:f>
      </x:c>
      <x:c r="F65" s="138" t="str">
        <x:f>IF(A65="","",'Risk Register'!T65)</x:f>
      </x:c>
      <x:c r="G65" s="187" t="str">
        <x:f>IF(A65="","",IF(ISNUMBER('Risk Register'!U65),IF('Risk Register'!U65&gt;0,'Risk Register'!U65,""),""))</x:f>
      </x:c>
      <x:c r="H65" s="138" t="str">
        <x:f>IF(A65="","",IF(OR(F65="Closed",F65="Accepted"),"",IF(ISNUMBER('Risk Register'!U65),IF('Risk Register'!U65&gt;0,'Risk Register'!U65-Methodology!$B$25,""),"")))</x:f>
      </x:c>
      <x:c r="I65" s="138" t="str">
        <x:f>IF(A65="","",'Risk Register'!R65)</x:f>
      </x:c>
      <x:c r="J65" s="138" t="str">
        <x:f>IF(A65="","",'Risk Register'!X65)</x:f>
      </x:c>
      <x:c r="K65" s="138" t="str">
        <x:f>IF(A65="","",IF('Risk Register'!Y65="","",'Risk Register'!Y65))</x:f>
      </x:c>
      <x:c r="L65" s="138" t="str">
        <x:f>IF(A65="","",IF('Risk Register'!Z65="","",'Risk Register'!Z65))</x:f>
      </x:c>
      <x:c r="M65" s="138" t="str">
        <x:f>IF(A65="","",IF('Risk Register'!AA65="","",'Risk Register'!AA65))</x:f>
      </x:c>
      <x:c r="N65" s="188" t="str">
        <x:f>IF(A65="","",IF('Risk Register'!AB65="","",'Risk Register'!AB65))</x:f>
      </x:c>
      <x:c r="O65" s="138" t="str">
        <x:f>IF(A65="","",IF('Risk Register'!AC65="","",'Risk Register'!AC65))</x:f>
      </x:c>
      <x:c r="P65" s="138" t="str">
        <x:f>IF(A65="","",'Risk Register'!AD65)</x:f>
      </x:c>
      <x:c r="Q65" s="138" t="str">
        <x:f>IF(A65="","",'Risk Register'!AE65)</x:f>
      </x:c>
      <x:c r="R65" s="138" t="str">
        <x:f>IF(A65="","",'Risk Register'!AF65)</x:f>
      </x:c>
      <x:c r="S65" s="138" t="str">
        <x:f>IF(A65="","",'Risk Register'!AG65)</x:f>
      </x:c>
      <x:c r="T65" s="138" t="str">
        <x:f>IF(A65="","",IF(NOT(ISNUMBER('Risk Register'!U65)),"Date needed",IF('Risk Register'!U65&lt;=0,"Date needed",IF('Risk Register'!T65="Closed","Closed",IF('Risk Register'!T65="Accepted",IF('Risk Register'!U65&lt;Methodology!$B$25,"Acceptance review due","Accepted - review scheduled"),IF('Risk Register'!U65&lt;Methodology!$B$25,"Overdue",IF('Risk Register'!U65&lt;=Methodology!$B$25+30,"Due within 30 days","Scheduled")))))))</x:f>
      </x:c>
    </x:row>
    <x:row r="66" ht="40" customHeight="1">
      <x:c r="A66" s="138" t="str">
        <x:f>IF('Risk Register'!A66="","",'Risk Register'!A66)</x:f>
      </x:c>
      <x:c r="B66" s="138" t="str">
        <x:f>IF(A66="","",'Risk Register'!D66)</x:f>
      </x:c>
      <x:c r="C66" s="138" t="str">
        <x:f>IF(A66="","",'Risk Register'!P66)</x:f>
      </x:c>
      <x:c r="D66" s="138" t="str">
        <x:f>IF(A66="","",'Risk Register'!Q66)</x:f>
      </x:c>
      <x:c r="E66" s="138" t="str">
        <x:f>IF(A66="","",'Risk Register'!S66)</x:f>
      </x:c>
      <x:c r="F66" s="138" t="str">
        <x:f>IF(A66="","",'Risk Register'!T66)</x:f>
      </x:c>
      <x:c r="G66" s="187" t="str">
        <x:f>IF(A66="","",IF(ISNUMBER('Risk Register'!U66),IF('Risk Register'!U66&gt;0,'Risk Register'!U66,""),""))</x:f>
      </x:c>
      <x:c r="H66" s="138" t="str">
        <x:f>IF(A66="","",IF(OR(F66="Closed",F66="Accepted"),"",IF(ISNUMBER('Risk Register'!U66),IF('Risk Register'!U66&gt;0,'Risk Register'!U66-Methodology!$B$25,""),"")))</x:f>
      </x:c>
      <x:c r="I66" s="138" t="str">
        <x:f>IF(A66="","",'Risk Register'!R66)</x:f>
      </x:c>
      <x:c r="J66" s="138" t="str">
        <x:f>IF(A66="","",'Risk Register'!X66)</x:f>
      </x:c>
      <x:c r="K66" s="138" t="str">
        <x:f>IF(A66="","",IF('Risk Register'!Y66="","",'Risk Register'!Y66))</x:f>
      </x:c>
      <x:c r="L66" s="138" t="str">
        <x:f>IF(A66="","",IF('Risk Register'!Z66="","",'Risk Register'!Z66))</x:f>
      </x:c>
      <x:c r="M66" s="138" t="str">
        <x:f>IF(A66="","",IF('Risk Register'!AA66="","",'Risk Register'!AA66))</x:f>
      </x:c>
      <x:c r="N66" s="188" t="str">
        <x:f>IF(A66="","",IF('Risk Register'!AB66="","",'Risk Register'!AB66))</x:f>
      </x:c>
      <x:c r="O66" s="138" t="str">
        <x:f>IF(A66="","",IF('Risk Register'!AC66="","",'Risk Register'!AC66))</x:f>
      </x:c>
      <x:c r="P66" s="138" t="str">
        <x:f>IF(A66="","",'Risk Register'!AD66)</x:f>
      </x:c>
      <x:c r="Q66" s="138" t="str">
        <x:f>IF(A66="","",'Risk Register'!AE66)</x:f>
      </x:c>
      <x:c r="R66" s="138" t="str">
        <x:f>IF(A66="","",'Risk Register'!AF66)</x:f>
      </x:c>
      <x:c r="S66" s="138" t="str">
        <x:f>IF(A66="","",'Risk Register'!AG66)</x:f>
      </x:c>
      <x:c r="T66" s="138" t="str">
        <x:f>IF(A66="","",IF(NOT(ISNUMBER('Risk Register'!U66)),"Date needed",IF('Risk Register'!U66&lt;=0,"Date needed",IF('Risk Register'!T66="Closed","Closed",IF('Risk Register'!T66="Accepted",IF('Risk Register'!U66&lt;Methodology!$B$25,"Acceptance review due","Accepted - review scheduled"),IF('Risk Register'!U66&lt;Methodology!$B$25,"Overdue",IF('Risk Register'!U66&lt;=Methodology!$B$25+30,"Due within 30 days","Scheduled")))))))</x:f>
      </x:c>
    </x:row>
    <x:row r="67" ht="40" customHeight="1">
      <x:c r="A67" s="138" t="str">
        <x:f>IF('Risk Register'!A67="","",'Risk Register'!A67)</x:f>
      </x:c>
      <x:c r="B67" s="138" t="str">
        <x:f>IF(A67="","",'Risk Register'!D67)</x:f>
      </x:c>
      <x:c r="C67" s="138" t="str">
        <x:f>IF(A67="","",'Risk Register'!P67)</x:f>
      </x:c>
      <x:c r="D67" s="138" t="str">
        <x:f>IF(A67="","",'Risk Register'!Q67)</x:f>
      </x:c>
      <x:c r="E67" s="138" t="str">
        <x:f>IF(A67="","",'Risk Register'!S67)</x:f>
      </x:c>
      <x:c r="F67" s="138" t="str">
        <x:f>IF(A67="","",'Risk Register'!T67)</x:f>
      </x:c>
      <x:c r="G67" s="187" t="str">
        <x:f>IF(A67="","",IF(ISNUMBER('Risk Register'!U67),IF('Risk Register'!U67&gt;0,'Risk Register'!U67,""),""))</x:f>
      </x:c>
      <x:c r="H67" s="138" t="str">
        <x:f>IF(A67="","",IF(OR(F67="Closed",F67="Accepted"),"",IF(ISNUMBER('Risk Register'!U67),IF('Risk Register'!U67&gt;0,'Risk Register'!U67-Methodology!$B$25,""),"")))</x:f>
      </x:c>
      <x:c r="I67" s="138" t="str">
        <x:f>IF(A67="","",'Risk Register'!R67)</x:f>
      </x:c>
      <x:c r="J67" s="138" t="str">
        <x:f>IF(A67="","",'Risk Register'!X67)</x:f>
      </x:c>
      <x:c r="K67" s="138" t="str">
        <x:f>IF(A67="","",IF('Risk Register'!Y67="","",'Risk Register'!Y67))</x:f>
      </x:c>
      <x:c r="L67" s="138" t="str">
        <x:f>IF(A67="","",IF('Risk Register'!Z67="","",'Risk Register'!Z67))</x:f>
      </x:c>
      <x:c r="M67" s="138" t="str">
        <x:f>IF(A67="","",IF('Risk Register'!AA67="","",'Risk Register'!AA67))</x:f>
      </x:c>
      <x:c r="N67" s="188" t="str">
        <x:f>IF(A67="","",IF('Risk Register'!AB67="","",'Risk Register'!AB67))</x:f>
      </x:c>
      <x:c r="O67" s="138" t="str">
        <x:f>IF(A67="","",IF('Risk Register'!AC67="","",'Risk Register'!AC67))</x:f>
      </x:c>
      <x:c r="P67" s="138" t="str">
        <x:f>IF(A67="","",'Risk Register'!AD67)</x:f>
      </x:c>
      <x:c r="Q67" s="138" t="str">
        <x:f>IF(A67="","",'Risk Register'!AE67)</x:f>
      </x:c>
      <x:c r="R67" s="138" t="str">
        <x:f>IF(A67="","",'Risk Register'!AF67)</x:f>
      </x:c>
      <x:c r="S67" s="138" t="str">
        <x:f>IF(A67="","",'Risk Register'!AG67)</x:f>
      </x:c>
      <x:c r="T67" s="138" t="str">
        <x:f>IF(A67="","",IF(NOT(ISNUMBER('Risk Register'!U67)),"Date needed",IF('Risk Register'!U67&lt;=0,"Date needed",IF('Risk Register'!T67="Closed","Closed",IF('Risk Register'!T67="Accepted",IF('Risk Register'!U67&lt;Methodology!$B$25,"Acceptance review due","Accepted - review scheduled"),IF('Risk Register'!U67&lt;Methodology!$B$25,"Overdue",IF('Risk Register'!U67&lt;=Methodology!$B$25+30,"Due within 30 days","Scheduled")))))))</x:f>
      </x:c>
    </x:row>
    <x:row r="68" ht="40" customHeight="1">
      <x:c r="A68" s="138" t="str">
        <x:f>IF('Risk Register'!A68="","",'Risk Register'!A68)</x:f>
      </x:c>
      <x:c r="B68" s="138" t="str">
        <x:f>IF(A68="","",'Risk Register'!D68)</x:f>
      </x:c>
      <x:c r="C68" s="138" t="str">
        <x:f>IF(A68="","",'Risk Register'!P68)</x:f>
      </x:c>
      <x:c r="D68" s="138" t="str">
        <x:f>IF(A68="","",'Risk Register'!Q68)</x:f>
      </x:c>
      <x:c r="E68" s="138" t="str">
        <x:f>IF(A68="","",'Risk Register'!S68)</x:f>
      </x:c>
      <x:c r="F68" s="138" t="str">
        <x:f>IF(A68="","",'Risk Register'!T68)</x:f>
      </x:c>
      <x:c r="G68" s="187" t="str">
        <x:f>IF(A68="","",IF(ISNUMBER('Risk Register'!U68),IF('Risk Register'!U68&gt;0,'Risk Register'!U68,""),""))</x:f>
      </x:c>
      <x:c r="H68" s="138" t="str">
        <x:f>IF(A68="","",IF(OR(F68="Closed",F68="Accepted"),"",IF(ISNUMBER('Risk Register'!U68),IF('Risk Register'!U68&gt;0,'Risk Register'!U68-Methodology!$B$25,""),"")))</x:f>
      </x:c>
      <x:c r="I68" s="138" t="str">
        <x:f>IF(A68="","",'Risk Register'!R68)</x:f>
      </x:c>
      <x:c r="J68" s="138" t="str">
        <x:f>IF(A68="","",'Risk Register'!X68)</x:f>
      </x:c>
      <x:c r="K68" s="138" t="str">
        <x:f>IF(A68="","",IF('Risk Register'!Y68="","",'Risk Register'!Y68))</x:f>
      </x:c>
      <x:c r="L68" s="138" t="str">
        <x:f>IF(A68="","",IF('Risk Register'!Z68="","",'Risk Register'!Z68))</x:f>
      </x:c>
      <x:c r="M68" s="138" t="str">
        <x:f>IF(A68="","",IF('Risk Register'!AA68="","",'Risk Register'!AA68))</x:f>
      </x:c>
      <x:c r="N68" s="188" t="str">
        <x:f>IF(A68="","",IF('Risk Register'!AB68="","",'Risk Register'!AB68))</x:f>
      </x:c>
      <x:c r="O68" s="138" t="str">
        <x:f>IF(A68="","",IF('Risk Register'!AC68="","",'Risk Register'!AC68))</x:f>
      </x:c>
      <x:c r="P68" s="138" t="str">
        <x:f>IF(A68="","",'Risk Register'!AD68)</x:f>
      </x:c>
      <x:c r="Q68" s="138" t="str">
        <x:f>IF(A68="","",'Risk Register'!AE68)</x:f>
      </x:c>
      <x:c r="R68" s="138" t="str">
        <x:f>IF(A68="","",'Risk Register'!AF68)</x:f>
      </x:c>
      <x:c r="S68" s="138" t="str">
        <x:f>IF(A68="","",'Risk Register'!AG68)</x:f>
      </x:c>
      <x:c r="T68" s="138" t="str">
        <x:f>IF(A68="","",IF(NOT(ISNUMBER('Risk Register'!U68)),"Date needed",IF('Risk Register'!U68&lt;=0,"Date needed",IF('Risk Register'!T68="Closed","Closed",IF('Risk Register'!T68="Accepted",IF('Risk Register'!U68&lt;Methodology!$B$25,"Acceptance review due","Accepted - review scheduled"),IF('Risk Register'!U68&lt;Methodology!$B$25,"Overdue",IF('Risk Register'!U68&lt;=Methodology!$B$25+30,"Due within 30 days","Scheduled")))))))</x:f>
      </x:c>
    </x:row>
    <x:row r="69" ht="40" customHeight="1">
      <x:c r="A69" s="138" t="str">
        <x:f>IF('Risk Register'!A69="","",'Risk Register'!A69)</x:f>
      </x:c>
      <x:c r="B69" s="138" t="str">
        <x:f>IF(A69="","",'Risk Register'!D69)</x:f>
      </x:c>
      <x:c r="C69" s="138" t="str">
        <x:f>IF(A69="","",'Risk Register'!P69)</x:f>
      </x:c>
      <x:c r="D69" s="138" t="str">
        <x:f>IF(A69="","",'Risk Register'!Q69)</x:f>
      </x:c>
      <x:c r="E69" s="138" t="str">
        <x:f>IF(A69="","",'Risk Register'!S69)</x:f>
      </x:c>
      <x:c r="F69" s="138" t="str">
        <x:f>IF(A69="","",'Risk Register'!T69)</x:f>
      </x:c>
      <x:c r="G69" s="187" t="str">
        <x:f>IF(A69="","",IF(ISNUMBER('Risk Register'!U69),IF('Risk Register'!U69&gt;0,'Risk Register'!U69,""),""))</x:f>
      </x:c>
      <x:c r="H69" s="138" t="str">
        <x:f>IF(A69="","",IF(OR(F69="Closed",F69="Accepted"),"",IF(ISNUMBER('Risk Register'!U69),IF('Risk Register'!U69&gt;0,'Risk Register'!U69-Methodology!$B$25,""),"")))</x:f>
      </x:c>
      <x:c r="I69" s="138" t="str">
        <x:f>IF(A69="","",'Risk Register'!R69)</x:f>
      </x:c>
      <x:c r="J69" s="138" t="str">
        <x:f>IF(A69="","",'Risk Register'!X69)</x:f>
      </x:c>
      <x:c r="K69" s="138" t="str">
        <x:f>IF(A69="","",IF('Risk Register'!Y69="","",'Risk Register'!Y69))</x:f>
      </x:c>
      <x:c r="L69" s="138" t="str">
        <x:f>IF(A69="","",IF('Risk Register'!Z69="","",'Risk Register'!Z69))</x:f>
      </x:c>
      <x:c r="M69" s="138" t="str">
        <x:f>IF(A69="","",IF('Risk Register'!AA69="","",'Risk Register'!AA69))</x:f>
      </x:c>
      <x:c r="N69" s="188" t="str">
        <x:f>IF(A69="","",IF('Risk Register'!AB69="","",'Risk Register'!AB69))</x:f>
      </x:c>
      <x:c r="O69" s="138" t="str">
        <x:f>IF(A69="","",IF('Risk Register'!AC69="","",'Risk Register'!AC69))</x:f>
      </x:c>
      <x:c r="P69" s="138" t="str">
        <x:f>IF(A69="","",'Risk Register'!AD69)</x:f>
      </x:c>
      <x:c r="Q69" s="138" t="str">
        <x:f>IF(A69="","",'Risk Register'!AE69)</x:f>
      </x:c>
      <x:c r="R69" s="138" t="str">
        <x:f>IF(A69="","",'Risk Register'!AF69)</x:f>
      </x:c>
      <x:c r="S69" s="138" t="str">
        <x:f>IF(A69="","",'Risk Register'!AG69)</x:f>
      </x:c>
      <x:c r="T69" s="138" t="str">
        <x:f>IF(A69="","",IF(NOT(ISNUMBER('Risk Register'!U69)),"Date needed",IF('Risk Register'!U69&lt;=0,"Date needed",IF('Risk Register'!T69="Closed","Closed",IF('Risk Register'!T69="Accepted",IF('Risk Register'!U69&lt;Methodology!$B$25,"Acceptance review due","Accepted - review scheduled"),IF('Risk Register'!U69&lt;Methodology!$B$25,"Overdue",IF('Risk Register'!U69&lt;=Methodology!$B$25+30,"Due within 30 days","Scheduled")))))))</x:f>
      </x:c>
    </x:row>
    <x:row r="70" ht="40" customHeight="1">
      <x:c r="A70" s="138" t="str">
        <x:f>IF('Risk Register'!A70="","",'Risk Register'!A70)</x:f>
      </x:c>
      <x:c r="B70" s="138" t="str">
        <x:f>IF(A70="","",'Risk Register'!D70)</x:f>
      </x:c>
      <x:c r="C70" s="138" t="str">
        <x:f>IF(A70="","",'Risk Register'!P70)</x:f>
      </x:c>
      <x:c r="D70" s="138" t="str">
        <x:f>IF(A70="","",'Risk Register'!Q70)</x:f>
      </x:c>
      <x:c r="E70" s="138" t="str">
        <x:f>IF(A70="","",'Risk Register'!S70)</x:f>
      </x:c>
      <x:c r="F70" s="138" t="str">
        <x:f>IF(A70="","",'Risk Register'!T70)</x:f>
      </x:c>
      <x:c r="G70" s="187" t="str">
        <x:f>IF(A70="","",IF(ISNUMBER('Risk Register'!U70),IF('Risk Register'!U70&gt;0,'Risk Register'!U70,""),""))</x:f>
      </x:c>
      <x:c r="H70" s="138" t="str">
        <x:f>IF(A70="","",IF(OR(F70="Closed",F70="Accepted"),"",IF(ISNUMBER('Risk Register'!U70),IF('Risk Register'!U70&gt;0,'Risk Register'!U70-Methodology!$B$25,""),"")))</x:f>
      </x:c>
      <x:c r="I70" s="138" t="str">
        <x:f>IF(A70="","",'Risk Register'!R70)</x:f>
      </x:c>
      <x:c r="J70" s="138" t="str">
        <x:f>IF(A70="","",'Risk Register'!X70)</x:f>
      </x:c>
      <x:c r="K70" s="138" t="str">
        <x:f>IF(A70="","",IF('Risk Register'!Y70="","",'Risk Register'!Y70))</x:f>
      </x:c>
      <x:c r="L70" s="138" t="str">
        <x:f>IF(A70="","",IF('Risk Register'!Z70="","",'Risk Register'!Z70))</x:f>
      </x:c>
      <x:c r="M70" s="138" t="str">
        <x:f>IF(A70="","",IF('Risk Register'!AA70="","",'Risk Register'!AA70))</x:f>
      </x:c>
      <x:c r="N70" s="188" t="str">
        <x:f>IF(A70="","",IF('Risk Register'!AB70="","",'Risk Register'!AB70))</x:f>
      </x:c>
      <x:c r="O70" s="138" t="str">
        <x:f>IF(A70="","",IF('Risk Register'!AC70="","",'Risk Register'!AC70))</x:f>
      </x:c>
      <x:c r="P70" s="138" t="str">
        <x:f>IF(A70="","",'Risk Register'!AD70)</x:f>
      </x:c>
      <x:c r="Q70" s="138" t="str">
        <x:f>IF(A70="","",'Risk Register'!AE70)</x:f>
      </x:c>
      <x:c r="R70" s="138" t="str">
        <x:f>IF(A70="","",'Risk Register'!AF70)</x:f>
      </x:c>
      <x:c r="S70" s="138" t="str">
        <x:f>IF(A70="","",'Risk Register'!AG70)</x:f>
      </x:c>
      <x:c r="T70" s="138" t="str">
        <x:f>IF(A70="","",IF(NOT(ISNUMBER('Risk Register'!U70)),"Date needed",IF('Risk Register'!U70&lt;=0,"Date needed",IF('Risk Register'!T70="Closed","Closed",IF('Risk Register'!T70="Accepted",IF('Risk Register'!U70&lt;Methodology!$B$25,"Acceptance review due","Accepted - review scheduled"),IF('Risk Register'!U70&lt;Methodology!$B$25,"Overdue",IF('Risk Register'!U70&lt;=Methodology!$B$25+30,"Due within 30 days","Scheduled")))))))</x:f>
      </x:c>
    </x:row>
    <x:row r="71" ht="40" customHeight="1">
      <x:c r="A71" s="138" t="str">
        <x:f>IF('Risk Register'!A71="","",'Risk Register'!A71)</x:f>
      </x:c>
      <x:c r="B71" s="138" t="str">
        <x:f>IF(A71="","",'Risk Register'!D71)</x:f>
      </x:c>
      <x:c r="C71" s="138" t="str">
        <x:f>IF(A71="","",'Risk Register'!P71)</x:f>
      </x:c>
      <x:c r="D71" s="138" t="str">
        <x:f>IF(A71="","",'Risk Register'!Q71)</x:f>
      </x:c>
      <x:c r="E71" s="138" t="str">
        <x:f>IF(A71="","",'Risk Register'!S71)</x:f>
      </x:c>
      <x:c r="F71" s="138" t="str">
        <x:f>IF(A71="","",'Risk Register'!T71)</x:f>
      </x:c>
      <x:c r="G71" s="187" t="str">
        <x:f>IF(A71="","",IF(ISNUMBER('Risk Register'!U71),IF('Risk Register'!U71&gt;0,'Risk Register'!U71,""),""))</x:f>
      </x:c>
      <x:c r="H71" s="138" t="str">
        <x:f>IF(A71="","",IF(OR(F71="Closed",F71="Accepted"),"",IF(ISNUMBER('Risk Register'!U71),IF('Risk Register'!U71&gt;0,'Risk Register'!U71-Methodology!$B$25,""),"")))</x:f>
      </x:c>
      <x:c r="I71" s="138" t="str">
        <x:f>IF(A71="","",'Risk Register'!R71)</x:f>
      </x:c>
      <x:c r="J71" s="138" t="str">
        <x:f>IF(A71="","",'Risk Register'!X71)</x:f>
      </x:c>
      <x:c r="K71" s="138" t="str">
        <x:f>IF(A71="","",IF('Risk Register'!Y71="","",'Risk Register'!Y71))</x:f>
      </x:c>
      <x:c r="L71" s="138" t="str">
        <x:f>IF(A71="","",IF('Risk Register'!Z71="","",'Risk Register'!Z71))</x:f>
      </x:c>
      <x:c r="M71" s="138" t="str">
        <x:f>IF(A71="","",IF('Risk Register'!AA71="","",'Risk Register'!AA71))</x:f>
      </x:c>
      <x:c r="N71" s="188" t="str">
        <x:f>IF(A71="","",IF('Risk Register'!AB71="","",'Risk Register'!AB71))</x:f>
      </x:c>
      <x:c r="O71" s="138" t="str">
        <x:f>IF(A71="","",IF('Risk Register'!AC71="","",'Risk Register'!AC71))</x:f>
      </x:c>
      <x:c r="P71" s="138" t="str">
        <x:f>IF(A71="","",'Risk Register'!AD71)</x:f>
      </x:c>
      <x:c r="Q71" s="138" t="str">
        <x:f>IF(A71="","",'Risk Register'!AE71)</x:f>
      </x:c>
      <x:c r="R71" s="138" t="str">
        <x:f>IF(A71="","",'Risk Register'!AF71)</x:f>
      </x:c>
      <x:c r="S71" s="138" t="str">
        <x:f>IF(A71="","",'Risk Register'!AG71)</x:f>
      </x:c>
      <x:c r="T71" s="138" t="str">
        <x:f>IF(A71="","",IF(NOT(ISNUMBER('Risk Register'!U71)),"Date needed",IF('Risk Register'!U71&lt;=0,"Date needed",IF('Risk Register'!T71="Closed","Closed",IF('Risk Register'!T71="Accepted",IF('Risk Register'!U71&lt;Methodology!$B$25,"Acceptance review due","Accepted - review scheduled"),IF('Risk Register'!U71&lt;Methodology!$B$25,"Overdue",IF('Risk Register'!U71&lt;=Methodology!$B$25+30,"Due within 30 days","Scheduled")))))))</x:f>
      </x:c>
    </x:row>
    <x:row r="72" ht="40" customHeight="1">
      <x:c r="A72" s="138" t="str">
        <x:f>IF('Risk Register'!A72="","",'Risk Register'!A72)</x:f>
      </x:c>
      <x:c r="B72" s="138" t="str">
        <x:f>IF(A72="","",'Risk Register'!D72)</x:f>
      </x:c>
      <x:c r="C72" s="138" t="str">
        <x:f>IF(A72="","",'Risk Register'!P72)</x:f>
      </x:c>
      <x:c r="D72" s="138" t="str">
        <x:f>IF(A72="","",'Risk Register'!Q72)</x:f>
      </x:c>
      <x:c r="E72" s="138" t="str">
        <x:f>IF(A72="","",'Risk Register'!S72)</x:f>
      </x:c>
      <x:c r="F72" s="138" t="str">
        <x:f>IF(A72="","",'Risk Register'!T72)</x:f>
      </x:c>
      <x:c r="G72" s="187" t="str">
        <x:f>IF(A72="","",IF(ISNUMBER('Risk Register'!U72),IF('Risk Register'!U72&gt;0,'Risk Register'!U72,""),""))</x:f>
      </x:c>
      <x:c r="H72" s="138" t="str">
        <x:f>IF(A72="","",IF(OR(F72="Closed",F72="Accepted"),"",IF(ISNUMBER('Risk Register'!U72),IF('Risk Register'!U72&gt;0,'Risk Register'!U72-Methodology!$B$25,""),"")))</x:f>
      </x:c>
      <x:c r="I72" s="138" t="str">
        <x:f>IF(A72="","",'Risk Register'!R72)</x:f>
      </x:c>
      <x:c r="J72" s="138" t="str">
        <x:f>IF(A72="","",'Risk Register'!X72)</x:f>
      </x:c>
      <x:c r="K72" s="138" t="str">
        <x:f>IF(A72="","",IF('Risk Register'!Y72="","",'Risk Register'!Y72))</x:f>
      </x:c>
      <x:c r="L72" s="138" t="str">
        <x:f>IF(A72="","",IF('Risk Register'!Z72="","",'Risk Register'!Z72))</x:f>
      </x:c>
      <x:c r="M72" s="138" t="str">
        <x:f>IF(A72="","",IF('Risk Register'!AA72="","",'Risk Register'!AA72))</x:f>
      </x:c>
      <x:c r="N72" s="188" t="str">
        <x:f>IF(A72="","",IF('Risk Register'!AB72="","",'Risk Register'!AB72))</x:f>
      </x:c>
      <x:c r="O72" s="138" t="str">
        <x:f>IF(A72="","",IF('Risk Register'!AC72="","",'Risk Register'!AC72))</x:f>
      </x:c>
      <x:c r="P72" s="138" t="str">
        <x:f>IF(A72="","",'Risk Register'!AD72)</x:f>
      </x:c>
      <x:c r="Q72" s="138" t="str">
        <x:f>IF(A72="","",'Risk Register'!AE72)</x:f>
      </x:c>
      <x:c r="R72" s="138" t="str">
        <x:f>IF(A72="","",'Risk Register'!AF72)</x:f>
      </x:c>
      <x:c r="S72" s="138" t="str">
        <x:f>IF(A72="","",'Risk Register'!AG72)</x:f>
      </x:c>
      <x:c r="T72" s="138" t="str">
        <x:f>IF(A72="","",IF(NOT(ISNUMBER('Risk Register'!U72)),"Date needed",IF('Risk Register'!U72&lt;=0,"Date needed",IF('Risk Register'!T72="Closed","Closed",IF('Risk Register'!T72="Accepted",IF('Risk Register'!U72&lt;Methodology!$B$25,"Acceptance review due","Accepted - review scheduled"),IF('Risk Register'!U72&lt;Methodology!$B$25,"Overdue",IF('Risk Register'!U72&lt;=Methodology!$B$25+30,"Due within 30 days","Scheduled")))))))</x:f>
      </x:c>
    </x:row>
    <x:row r="73" ht="40" customHeight="1">
      <x:c r="A73" s="138" t="str">
        <x:f>IF('Risk Register'!A73="","",'Risk Register'!A73)</x:f>
      </x:c>
      <x:c r="B73" s="138" t="str">
        <x:f>IF(A73="","",'Risk Register'!D73)</x:f>
      </x:c>
      <x:c r="C73" s="138" t="str">
        <x:f>IF(A73="","",'Risk Register'!P73)</x:f>
      </x:c>
      <x:c r="D73" s="138" t="str">
        <x:f>IF(A73="","",'Risk Register'!Q73)</x:f>
      </x:c>
      <x:c r="E73" s="138" t="str">
        <x:f>IF(A73="","",'Risk Register'!S73)</x:f>
      </x:c>
      <x:c r="F73" s="138" t="str">
        <x:f>IF(A73="","",'Risk Register'!T73)</x:f>
      </x:c>
      <x:c r="G73" s="187" t="str">
        <x:f>IF(A73="","",IF(ISNUMBER('Risk Register'!U73),IF('Risk Register'!U73&gt;0,'Risk Register'!U73,""),""))</x:f>
      </x:c>
      <x:c r="H73" s="138" t="str">
        <x:f>IF(A73="","",IF(OR(F73="Closed",F73="Accepted"),"",IF(ISNUMBER('Risk Register'!U73),IF('Risk Register'!U73&gt;0,'Risk Register'!U73-Methodology!$B$25,""),"")))</x:f>
      </x:c>
      <x:c r="I73" s="138" t="str">
        <x:f>IF(A73="","",'Risk Register'!R73)</x:f>
      </x:c>
      <x:c r="J73" s="138" t="str">
        <x:f>IF(A73="","",'Risk Register'!X73)</x:f>
      </x:c>
      <x:c r="K73" s="138" t="str">
        <x:f>IF(A73="","",IF('Risk Register'!Y73="","",'Risk Register'!Y73))</x:f>
      </x:c>
      <x:c r="L73" s="138" t="str">
        <x:f>IF(A73="","",IF('Risk Register'!Z73="","",'Risk Register'!Z73))</x:f>
      </x:c>
      <x:c r="M73" s="138" t="str">
        <x:f>IF(A73="","",IF('Risk Register'!AA73="","",'Risk Register'!AA73))</x:f>
      </x:c>
      <x:c r="N73" s="188" t="str">
        <x:f>IF(A73="","",IF('Risk Register'!AB73="","",'Risk Register'!AB73))</x:f>
      </x:c>
      <x:c r="O73" s="138" t="str">
        <x:f>IF(A73="","",IF('Risk Register'!AC73="","",'Risk Register'!AC73))</x:f>
      </x:c>
      <x:c r="P73" s="138" t="str">
        <x:f>IF(A73="","",'Risk Register'!AD73)</x:f>
      </x:c>
      <x:c r="Q73" s="138" t="str">
        <x:f>IF(A73="","",'Risk Register'!AE73)</x:f>
      </x:c>
      <x:c r="R73" s="138" t="str">
        <x:f>IF(A73="","",'Risk Register'!AF73)</x:f>
      </x:c>
      <x:c r="S73" s="138" t="str">
        <x:f>IF(A73="","",'Risk Register'!AG73)</x:f>
      </x:c>
      <x:c r="T73" s="138" t="str">
        <x:f>IF(A73="","",IF(NOT(ISNUMBER('Risk Register'!U73)),"Date needed",IF('Risk Register'!U73&lt;=0,"Date needed",IF('Risk Register'!T73="Closed","Closed",IF('Risk Register'!T73="Accepted",IF('Risk Register'!U73&lt;Methodology!$B$25,"Acceptance review due","Accepted - review scheduled"),IF('Risk Register'!U73&lt;Methodology!$B$25,"Overdue",IF('Risk Register'!U73&lt;=Methodology!$B$25+30,"Due within 30 days","Scheduled")))))))</x:f>
      </x:c>
    </x:row>
    <x:row r="74" ht="40" customHeight="1">
      <x:c r="A74" s="138" t="str">
        <x:f>IF('Risk Register'!A74="","",'Risk Register'!A74)</x:f>
      </x:c>
      <x:c r="B74" s="138" t="str">
        <x:f>IF(A74="","",'Risk Register'!D74)</x:f>
      </x:c>
      <x:c r="C74" s="138" t="str">
        <x:f>IF(A74="","",'Risk Register'!P74)</x:f>
      </x:c>
      <x:c r="D74" s="138" t="str">
        <x:f>IF(A74="","",'Risk Register'!Q74)</x:f>
      </x:c>
      <x:c r="E74" s="138" t="str">
        <x:f>IF(A74="","",'Risk Register'!S74)</x:f>
      </x:c>
      <x:c r="F74" s="138" t="str">
        <x:f>IF(A74="","",'Risk Register'!T74)</x:f>
      </x:c>
      <x:c r="G74" s="187" t="str">
        <x:f>IF(A74="","",IF(ISNUMBER('Risk Register'!U74),IF('Risk Register'!U74&gt;0,'Risk Register'!U74,""),""))</x:f>
      </x:c>
      <x:c r="H74" s="138" t="str">
        <x:f>IF(A74="","",IF(OR(F74="Closed",F74="Accepted"),"",IF(ISNUMBER('Risk Register'!U74),IF('Risk Register'!U74&gt;0,'Risk Register'!U74-Methodology!$B$25,""),"")))</x:f>
      </x:c>
      <x:c r="I74" s="138" t="str">
        <x:f>IF(A74="","",'Risk Register'!R74)</x:f>
      </x:c>
      <x:c r="J74" s="138" t="str">
        <x:f>IF(A74="","",'Risk Register'!X74)</x:f>
      </x:c>
      <x:c r="K74" s="138" t="str">
        <x:f>IF(A74="","",IF('Risk Register'!Y74="","",'Risk Register'!Y74))</x:f>
      </x:c>
      <x:c r="L74" s="138" t="str">
        <x:f>IF(A74="","",IF('Risk Register'!Z74="","",'Risk Register'!Z74))</x:f>
      </x:c>
      <x:c r="M74" s="138" t="str">
        <x:f>IF(A74="","",IF('Risk Register'!AA74="","",'Risk Register'!AA74))</x:f>
      </x:c>
      <x:c r="N74" s="188" t="str">
        <x:f>IF(A74="","",IF('Risk Register'!AB74="","",'Risk Register'!AB74))</x:f>
      </x:c>
      <x:c r="O74" s="138" t="str">
        <x:f>IF(A74="","",IF('Risk Register'!AC74="","",'Risk Register'!AC74))</x:f>
      </x:c>
      <x:c r="P74" s="138" t="str">
        <x:f>IF(A74="","",'Risk Register'!AD74)</x:f>
      </x:c>
      <x:c r="Q74" s="138" t="str">
        <x:f>IF(A74="","",'Risk Register'!AE74)</x:f>
      </x:c>
      <x:c r="R74" s="138" t="str">
        <x:f>IF(A74="","",'Risk Register'!AF74)</x:f>
      </x:c>
      <x:c r="S74" s="138" t="str">
        <x:f>IF(A74="","",'Risk Register'!AG74)</x:f>
      </x:c>
      <x:c r="T74" s="138" t="str">
        <x:f>IF(A74="","",IF(NOT(ISNUMBER('Risk Register'!U74)),"Date needed",IF('Risk Register'!U74&lt;=0,"Date needed",IF('Risk Register'!T74="Closed","Closed",IF('Risk Register'!T74="Accepted",IF('Risk Register'!U74&lt;Methodology!$B$25,"Acceptance review due","Accepted - review scheduled"),IF('Risk Register'!U74&lt;Methodology!$B$25,"Overdue",IF('Risk Register'!U74&lt;=Methodology!$B$25+30,"Due within 30 days","Scheduled")))))))</x:f>
      </x:c>
    </x:row>
    <x:row r="75" ht="40" customHeight="1">
      <x:c r="A75" s="138" t="str">
        <x:f>IF('Risk Register'!A75="","",'Risk Register'!A75)</x:f>
      </x:c>
      <x:c r="B75" s="138" t="str">
        <x:f>IF(A75="","",'Risk Register'!D75)</x:f>
      </x:c>
      <x:c r="C75" s="138" t="str">
        <x:f>IF(A75="","",'Risk Register'!P75)</x:f>
      </x:c>
      <x:c r="D75" s="138" t="str">
        <x:f>IF(A75="","",'Risk Register'!Q75)</x:f>
      </x:c>
      <x:c r="E75" s="138" t="str">
        <x:f>IF(A75="","",'Risk Register'!S75)</x:f>
      </x:c>
      <x:c r="F75" s="138" t="str">
        <x:f>IF(A75="","",'Risk Register'!T75)</x:f>
      </x:c>
      <x:c r="G75" s="187" t="str">
        <x:f>IF(A75="","",IF(ISNUMBER('Risk Register'!U75),IF('Risk Register'!U75&gt;0,'Risk Register'!U75,""),""))</x:f>
      </x:c>
      <x:c r="H75" s="138" t="str">
        <x:f>IF(A75="","",IF(OR(F75="Closed",F75="Accepted"),"",IF(ISNUMBER('Risk Register'!U75),IF('Risk Register'!U75&gt;0,'Risk Register'!U75-Methodology!$B$25,""),"")))</x:f>
      </x:c>
      <x:c r="I75" s="138" t="str">
        <x:f>IF(A75="","",'Risk Register'!R75)</x:f>
      </x:c>
      <x:c r="J75" s="138" t="str">
        <x:f>IF(A75="","",'Risk Register'!X75)</x:f>
      </x:c>
      <x:c r="K75" s="138" t="str">
        <x:f>IF(A75="","",IF('Risk Register'!Y75="","",'Risk Register'!Y75))</x:f>
      </x:c>
      <x:c r="L75" s="138" t="str">
        <x:f>IF(A75="","",IF('Risk Register'!Z75="","",'Risk Register'!Z75))</x:f>
      </x:c>
      <x:c r="M75" s="138" t="str">
        <x:f>IF(A75="","",IF('Risk Register'!AA75="","",'Risk Register'!AA75))</x:f>
      </x:c>
      <x:c r="N75" s="188" t="str">
        <x:f>IF(A75="","",IF('Risk Register'!AB75="","",'Risk Register'!AB75))</x:f>
      </x:c>
      <x:c r="O75" s="138" t="str">
        <x:f>IF(A75="","",IF('Risk Register'!AC75="","",'Risk Register'!AC75))</x:f>
      </x:c>
      <x:c r="P75" s="138" t="str">
        <x:f>IF(A75="","",'Risk Register'!AD75)</x:f>
      </x:c>
      <x:c r="Q75" s="138" t="str">
        <x:f>IF(A75="","",'Risk Register'!AE75)</x:f>
      </x:c>
      <x:c r="R75" s="138" t="str">
        <x:f>IF(A75="","",'Risk Register'!AF75)</x:f>
      </x:c>
      <x:c r="S75" s="138" t="str">
        <x:f>IF(A75="","",'Risk Register'!AG75)</x:f>
      </x:c>
      <x:c r="T75" s="138" t="str">
        <x:f>IF(A75="","",IF(NOT(ISNUMBER('Risk Register'!U75)),"Date needed",IF('Risk Register'!U75&lt;=0,"Date needed",IF('Risk Register'!T75="Closed","Closed",IF('Risk Register'!T75="Accepted",IF('Risk Register'!U75&lt;Methodology!$B$25,"Acceptance review due","Accepted - review scheduled"),IF('Risk Register'!U75&lt;Methodology!$B$25,"Overdue",IF('Risk Register'!U75&lt;=Methodology!$B$25+30,"Due within 30 days","Scheduled")))))))</x:f>
      </x:c>
    </x:row>
    <x:row r="76" ht="40" customHeight="1">
      <x:c r="A76" s="138" t="str">
        <x:f>IF('Risk Register'!A76="","",'Risk Register'!A76)</x:f>
      </x:c>
      <x:c r="B76" s="138" t="str">
        <x:f>IF(A76="","",'Risk Register'!D76)</x:f>
      </x:c>
      <x:c r="C76" s="138" t="str">
        <x:f>IF(A76="","",'Risk Register'!P76)</x:f>
      </x:c>
      <x:c r="D76" s="138" t="str">
        <x:f>IF(A76="","",'Risk Register'!Q76)</x:f>
      </x:c>
      <x:c r="E76" s="138" t="str">
        <x:f>IF(A76="","",'Risk Register'!S76)</x:f>
      </x:c>
      <x:c r="F76" s="138" t="str">
        <x:f>IF(A76="","",'Risk Register'!T76)</x:f>
      </x:c>
      <x:c r="G76" s="187" t="str">
        <x:f>IF(A76="","",IF(ISNUMBER('Risk Register'!U76),IF('Risk Register'!U76&gt;0,'Risk Register'!U76,""),""))</x:f>
      </x:c>
      <x:c r="H76" s="138" t="str">
        <x:f>IF(A76="","",IF(OR(F76="Closed",F76="Accepted"),"",IF(ISNUMBER('Risk Register'!U76),IF('Risk Register'!U76&gt;0,'Risk Register'!U76-Methodology!$B$25,""),"")))</x:f>
      </x:c>
      <x:c r="I76" s="138" t="str">
        <x:f>IF(A76="","",'Risk Register'!R76)</x:f>
      </x:c>
      <x:c r="J76" s="138" t="str">
        <x:f>IF(A76="","",'Risk Register'!X76)</x:f>
      </x:c>
      <x:c r="K76" s="138" t="str">
        <x:f>IF(A76="","",IF('Risk Register'!Y76="","",'Risk Register'!Y76))</x:f>
      </x:c>
      <x:c r="L76" s="138" t="str">
        <x:f>IF(A76="","",IF('Risk Register'!Z76="","",'Risk Register'!Z76))</x:f>
      </x:c>
      <x:c r="M76" s="138" t="str">
        <x:f>IF(A76="","",IF('Risk Register'!AA76="","",'Risk Register'!AA76))</x:f>
      </x:c>
      <x:c r="N76" s="188" t="str">
        <x:f>IF(A76="","",IF('Risk Register'!AB76="","",'Risk Register'!AB76))</x:f>
      </x:c>
      <x:c r="O76" s="138" t="str">
        <x:f>IF(A76="","",IF('Risk Register'!AC76="","",'Risk Register'!AC76))</x:f>
      </x:c>
      <x:c r="P76" s="138" t="str">
        <x:f>IF(A76="","",'Risk Register'!AD76)</x:f>
      </x:c>
      <x:c r="Q76" s="138" t="str">
        <x:f>IF(A76="","",'Risk Register'!AE76)</x:f>
      </x:c>
      <x:c r="R76" s="138" t="str">
        <x:f>IF(A76="","",'Risk Register'!AF76)</x:f>
      </x:c>
      <x:c r="S76" s="138" t="str">
        <x:f>IF(A76="","",'Risk Register'!AG76)</x:f>
      </x:c>
      <x:c r="T76" s="138" t="str">
        <x:f>IF(A76="","",IF(NOT(ISNUMBER('Risk Register'!U76)),"Date needed",IF('Risk Register'!U76&lt;=0,"Date needed",IF('Risk Register'!T76="Closed","Closed",IF('Risk Register'!T76="Accepted",IF('Risk Register'!U76&lt;Methodology!$B$25,"Acceptance review due","Accepted - review scheduled"),IF('Risk Register'!U76&lt;Methodology!$B$25,"Overdue",IF('Risk Register'!U76&lt;=Methodology!$B$25+30,"Due within 30 days","Scheduled")))))))</x:f>
      </x:c>
    </x:row>
    <x:row r="77" ht="40" customHeight="1">
      <x:c r="A77" s="138" t="str">
        <x:f>IF('Risk Register'!A77="","",'Risk Register'!A77)</x:f>
      </x:c>
      <x:c r="B77" s="138" t="str">
        <x:f>IF(A77="","",'Risk Register'!D77)</x:f>
      </x:c>
      <x:c r="C77" s="138" t="str">
        <x:f>IF(A77="","",'Risk Register'!P77)</x:f>
      </x:c>
      <x:c r="D77" s="138" t="str">
        <x:f>IF(A77="","",'Risk Register'!Q77)</x:f>
      </x:c>
      <x:c r="E77" s="138" t="str">
        <x:f>IF(A77="","",'Risk Register'!S77)</x:f>
      </x:c>
      <x:c r="F77" s="138" t="str">
        <x:f>IF(A77="","",'Risk Register'!T77)</x:f>
      </x:c>
      <x:c r="G77" s="187" t="str">
        <x:f>IF(A77="","",IF(ISNUMBER('Risk Register'!U77),IF('Risk Register'!U77&gt;0,'Risk Register'!U77,""),""))</x:f>
      </x:c>
      <x:c r="H77" s="138" t="str">
        <x:f>IF(A77="","",IF(OR(F77="Closed",F77="Accepted"),"",IF(ISNUMBER('Risk Register'!U77),IF('Risk Register'!U77&gt;0,'Risk Register'!U77-Methodology!$B$25,""),"")))</x:f>
      </x:c>
      <x:c r="I77" s="138" t="str">
        <x:f>IF(A77="","",'Risk Register'!R77)</x:f>
      </x:c>
      <x:c r="J77" s="138" t="str">
        <x:f>IF(A77="","",'Risk Register'!X77)</x:f>
      </x:c>
      <x:c r="K77" s="138" t="str">
        <x:f>IF(A77="","",IF('Risk Register'!Y77="","",'Risk Register'!Y77))</x:f>
      </x:c>
      <x:c r="L77" s="138" t="str">
        <x:f>IF(A77="","",IF('Risk Register'!Z77="","",'Risk Register'!Z77))</x:f>
      </x:c>
      <x:c r="M77" s="138" t="str">
        <x:f>IF(A77="","",IF('Risk Register'!AA77="","",'Risk Register'!AA77))</x:f>
      </x:c>
      <x:c r="N77" s="188" t="str">
        <x:f>IF(A77="","",IF('Risk Register'!AB77="","",'Risk Register'!AB77))</x:f>
      </x:c>
      <x:c r="O77" s="138" t="str">
        <x:f>IF(A77="","",IF('Risk Register'!AC77="","",'Risk Register'!AC77))</x:f>
      </x:c>
      <x:c r="P77" s="138" t="str">
        <x:f>IF(A77="","",'Risk Register'!AD77)</x:f>
      </x:c>
      <x:c r="Q77" s="138" t="str">
        <x:f>IF(A77="","",'Risk Register'!AE77)</x:f>
      </x:c>
      <x:c r="R77" s="138" t="str">
        <x:f>IF(A77="","",'Risk Register'!AF77)</x:f>
      </x:c>
      <x:c r="S77" s="138" t="str">
        <x:f>IF(A77="","",'Risk Register'!AG77)</x:f>
      </x:c>
      <x:c r="T77" s="138" t="str">
        <x:f>IF(A77="","",IF(NOT(ISNUMBER('Risk Register'!U77)),"Date needed",IF('Risk Register'!U77&lt;=0,"Date needed",IF('Risk Register'!T77="Closed","Closed",IF('Risk Register'!T77="Accepted",IF('Risk Register'!U77&lt;Methodology!$B$25,"Acceptance review due","Accepted - review scheduled"),IF('Risk Register'!U77&lt;Methodology!$B$25,"Overdue",IF('Risk Register'!U77&lt;=Methodology!$B$25+30,"Due within 30 days","Scheduled")))))))</x:f>
      </x:c>
    </x:row>
    <x:row r="78" ht="40" customHeight="1">
      <x:c r="A78" s="138" t="str">
        <x:f>IF('Risk Register'!A78="","",'Risk Register'!A78)</x:f>
      </x:c>
      <x:c r="B78" s="138" t="str">
        <x:f>IF(A78="","",'Risk Register'!D78)</x:f>
      </x:c>
      <x:c r="C78" s="138" t="str">
        <x:f>IF(A78="","",'Risk Register'!P78)</x:f>
      </x:c>
      <x:c r="D78" s="138" t="str">
        <x:f>IF(A78="","",'Risk Register'!Q78)</x:f>
      </x:c>
      <x:c r="E78" s="138" t="str">
        <x:f>IF(A78="","",'Risk Register'!S78)</x:f>
      </x:c>
      <x:c r="F78" s="138" t="str">
        <x:f>IF(A78="","",'Risk Register'!T78)</x:f>
      </x:c>
      <x:c r="G78" s="187" t="str">
        <x:f>IF(A78="","",IF(ISNUMBER('Risk Register'!U78),IF('Risk Register'!U78&gt;0,'Risk Register'!U78,""),""))</x:f>
      </x:c>
      <x:c r="H78" s="138" t="str">
        <x:f>IF(A78="","",IF(OR(F78="Closed",F78="Accepted"),"",IF(ISNUMBER('Risk Register'!U78),IF('Risk Register'!U78&gt;0,'Risk Register'!U78-Methodology!$B$25,""),"")))</x:f>
      </x:c>
      <x:c r="I78" s="138" t="str">
        <x:f>IF(A78="","",'Risk Register'!R78)</x:f>
      </x:c>
      <x:c r="J78" s="138" t="str">
        <x:f>IF(A78="","",'Risk Register'!X78)</x:f>
      </x:c>
      <x:c r="K78" s="138" t="str">
        <x:f>IF(A78="","",IF('Risk Register'!Y78="","",'Risk Register'!Y78))</x:f>
      </x:c>
      <x:c r="L78" s="138" t="str">
        <x:f>IF(A78="","",IF('Risk Register'!Z78="","",'Risk Register'!Z78))</x:f>
      </x:c>
      <x:c r="M78" s="138" t="str">
        <x:f>IF(A78="","",IF('Risk Register'!AA78="","",'Risk Register'!AA78))</x:f>
      </x:c>
      <x:c r="N78" s="188" t="str">
        <x:f>IF(A78="","",IF('Risk Register'!AB78="","",'Risk Register'!AB78))</x:f>
      </x:c>
      <x:c r="O78" s="138" t="str">
        <x:f>IF(A78="","",IF('Risk Register'!AC78="","",'Risk Register'!AC78))</x:f>
      </x:c>
      <x:c r="P78" s="138" t="str">
        <x:f>IF(A78="","",'Risk Register'!AD78)</x:f>
      </x:c>
      <x:c r="Q78" s="138" t="str">
        <x:f>IF(A78="","",'Risk Register'!AE78)</x:f>
      </x:c>
      <x:c r="R78" s="138" t="str">
        <x:f>IF(A78="","",'Risk Register'!AF78)</x:f>
      </x:c>
      <x:c r="S78" s="138" t="str">
        <x:f>IF(A78="","",'Risk Register'!AG78)</x:f>
      </x:c>
      <x:c r="T78" s="138" t="str">
        <x:f>IF(A78="","",IF(NOT(ISNUMBER('Risk Register'!U78)),"Date needed",IF('Risk Register'!U78&lt;=0,"Date needed",IF('Risk Register'!T78="Closed","Closed",IF('Risk Register'!T78="Accepted",IF('Risk Register'!U78&lt;Methodology!$B$25,"Acceptance review due","Accepted - review scheduled"),IF('Risk Register'!U78&lt;Methodology!$B$25,"Overdue",IF('Risk Register'!U78&lt;=Methodology!$B$25+30,"Due within 30 days","Scheduled")))))))</x:f>
      </x:c>
    </x:row>
    <x:row r="79" ht="40" customHeight="1">
      <x:c r="A79" s="138" t="str">
        <x:f>IF('Risk Register'!A79="","",'Risk Register'!A79)</x:f>
      </x:c>
      <x:c r="B79" s="138" t="str">
        <x:f>IF(A79="","",'Risk Register'!D79)</x:f>
      </x:c>
      <x:c r="C79" s="138" t="str">
        <x:f>IF(A79="","",'Risk Register'!P79)</x:f>
      </x:c>
      <x:c r="D79" s="138" t="str">
        <x:f>IF(A79="","",'Risk Register'!Q79)</x:f>
      </x:c>
      <x:c r="E79" s="138" t="str">
        <x:f>IF(A79="","",'Risk Register'!S79)</x:f>
      </x:c>
      <x:c r="F79" s="138" t="str">
        <x:f>IF(A79="","",'Risk Register'!T79)</x:f>
      </x:c>
      <x:c r="G79" s="187" t="str">
        <x:f>IF(A79="","",IF(ISNUMBER('Risk Register'!U79),IF('Risk Register'!U79&gt;0,'Risk Register'!U79,""),""))</x:f>
      </x:c>
      <x:c r="H79" s="138" t="str">
        <x:f>IF(A79="","",IF(OR(F79="Closed",F79="Accepted"),"",IF(ISNUMBER('Risk Register'!U79),IF('Risk Register'!U79&gt;0,'Risk Register'!U79-Methodology!$B$25,""),"")))</x:f>
      </x:c>
      <x:c r="I79" s="138" t="str">
        <x:f>IF(A79="","",'Risk Register'!R79)</x:f>
      </x:c>
      <x:c r="J79" s="138" t="str">
        <x:f>IF(A79="","",'Risk Register'!X79)</x:f>
      </x:c>
      <x:c r="K79" s="138" t="str">
        <x:f>IF(A79="","",IF('Risk Register'!Y79="","",'Risk Register'!Y79))</x:f>
      </x:c>
      <x:c r="L79" s="138" t="str">
        <x:f>IF(A79="","",IF('Risk Register'!Z79="","",'Risk Register'!Z79))</x:f>
      </x:c>
      <x:c r="M79" s="138" t="str">
        <x:f>IF(A79="","",IF('Risk Register'!AA79="","",'Risk Register'!AA79))</x:f>
      </x:c>
      <x:c r="N79" s="188" t="str">
        <x:f>IF(A79="","",IF('Risk Register'!AB79="","",'Risk Register'!AB79))</x:f>
      </x:c>
      <x:c r="O79" s="138" t="str">
        <x:f>IF(A79="","",IF('Risk Register'!AC79="","",'Risk Register'!AC79))</x:f>
      </x:c>
      <x:c r="P79" s="138" t="str">
        <x:f>IF(A79="","",'Risk Register'!AD79)</x:f>
      </x:c>
      <x:c r="Q79" s="138" t="str">
        <x:f>IF(A79="","",'Risk Register'!AE79)</x:f>
      </x:c>
      <x:c r="R79" s="138" t="str">
        <x:f>IF(A79="","",'Risk Register'!AF79)</x:f>
      </x:c>
      <x:c r="S79" s="138" t="str">
        <x:f>IF(A79="","",'Risk Register'!AG79)</x:f>
      </x:c>
      <x:c r="T79" s="138" t="str">
        <x:f>IF(A79="","",IF(NOT(ISNUMBER('Risk Register'!U79)),"Date needed",IF('Risk Register'!U79&lt;=0,"Date needed",IF('Risk Register'!T79="Closed","Closed",IF('Risk Register'!T79="Accepted",IF('Risk Register'!U79&lt;Methodology!$B$25,"Acceptance review due","Accepted - review scheduled"),IF('Risk Register'!U79&lt;Methodology!$B$25,"Overdue",IF('Risk Register'!U79&lt;=Methodology!$B$25+30,"Due within 30 days","Scheduled")))))))</x:f>
      </x:c>
    </x:row>
    <x:row r="80" ht="40" customHeight="1">
      <x:c r="A80" s="138" t="str">
        <x:f>IF('Risk Register'!A80="","",'Risk Register'!A80)</x:f>
      </x:c>
      <x:c r="B80" s="138" t="str">
        <x:f>IF(A80="","",'Risk Register'!D80)</x:f>
      </x:c>
      <x:c r="C80" s="138" t="str">
        <x:f>IF(A80="","",'Risk Register'!P80)</x:f>
      </x:c>
      <x:c r="D80" s="138" t="str">
        <x:f>IF(A80="","",'Risk Register'!Q80)</x:f>
      </x:c>
      <x:c r="E80" s="138" t="str">
        <x:f>IF(A80="","",'Risk Register'!S80)</x:f>
      </x:c>
      <x:c r="F80" s="138" t="str">
        <x:f>IF(A80="","",'Risk Register'!T80)</x:f>
      </x:c>
      <x:c r="G80" s="187" t="str">
        <x:f>IF(A80="","",IF(ISNUMBER('Risk Register'!U80),IF('Risk Register'!U80&gt;0,'Risk Register'!U80,""),""))</x:f>
      </x:c>
      <x:c r="H80" s="138" t="str">
        <x:f>IF(A80="","",IF(OR(F80="Closed",F80="Accepted"),"",IF(ISNUMBER('Risk Register'!U80),IF('Risk Register'!U80&gt;0,'Risk Register'!U80-Methodology!$B$25,""),"")))</x:f>
      </x:c>
      <x:c r="I80" s="138" t="str">
        <x:f>IF(A80="","",'Risk Register'!R80)</x:f>
      </x:c>
      <x:c r="J80" s="138" t="str">
        <x:f>IF(A80="","",'Risk Register'!X80)</x:f>
      </x:c>
      <x:c r="K80" s="138" t="str">
        <x:f>IF(A80="","",IF('Risk Register'!Y80="","",'Risk Register'!Y80))</x:f>
      </x:c>
      <x:c r="L80" s="138" t="str">
        <x:f>IF(A80="","",IF('Risk Register'!Z80="","",'Risk Register'!Z80))</x:f>
      </x:c>
      <x:c r="M80" s="138" t="str">
        <x:f>IF(A80="","",IF('Risk Register'!AA80="","",'Risk Register'!AA80))</x:f>
      </x:c>
      <x:c r="N80" s="188" t="str">
        <x:f>IF(A80="","",IF('Risk Register'!AB80="","",'Risk Register'!AB80))</x:f>
      </x:c>
      <x:c r="O80" s="138" t="str">
        <x:f>IF(A80="","",IF('Risk Register'!AC80="","",'Risk Register'!AC80))</x:f>
      </x:c>
      <x:c r="P80" s="138" t="str">
        <x:f>IF(A80="","",'Risk Register'!AD80)</x:f>
      </x:c>
      <x:c r="Q80" s="138" t="str">
        <x:f>IF(A80="","",'Risk Register'!AE80)</x:f>
      </x:c>
      <x:c r="R80" s="138" t="str">
        <x:f>IF(A80="","",'Risk Register'!AF80)</x:f>
      </x:c>
      <x:c r="S80" s="138" t="str">
        <x:f>IF(A80="","",'Risk Register'!AG80)</x:f>
      </x:c>
      <x:c r="T80" s="138" t="str">
        <x:f>IF(A80="","",IF(NOT(ISNUMBER('Risk Register'!U80)),"Date needed",IF('Risk Register'!U80&lt;=0,"Date needed",IF('Risk Register'!T80="Closed","Closed",IF('Risk Register'!T80="Accepted",IF('Risk Register'!U80&lt;Methodology!$B$25,"Acceptance review due","Accepted - review scheduled"),IF('Risk Register'!U80&lt;Methodology!$B$25,"Overdue",IF('Risk Register'!U80&lt;=Methodology!$B$25+30,"Due within 30 days","Scheduled")))))))</x:f>
      </x:c>
    </x:row>
    <x:row r="81" ht="40" customHeight="1">
      <x:c r="A81" s="138" t="str">
        <x:f>IF('Risk Register'!A81="","",'Risk Register'!A81)</x:f>
      </x:c>
      <x:c r="B81" s="138" t="str">
        <x:f>IF(A81="","",'Risk Register'!D81)</x:f>
      </x:c>
      <x:c r="C81" s="138" t="str">
        <x:f>IF(A81="","",'Risk Register'!P81)</x:f>
      </x:c>
      <x:c r="D81" s="138" t="str">
        <x:f>IF(A81="","",'Risk Register'!Q81)</x:f>
      </x:c>
      <x:c r="E81" s="138" t="str">
        <x:f>IF(A81="","",'Risk Register'!S81)</x:f>
      </x:c>
      <x:c r="F81" s="138" t="str">
        <x:f>IF(A81="","",'Risk Register'!T81)</x:f>
      </x:c>
      <x:c r="G81" s="187" t="str">
        <x:f>IF(A81="","",IF(ISNUMBER('Risk Register'!U81),IF('Risk Register'!U81&gt;0,'Risk Register'!U81,""),""))</x:f>
      </x:c>
      <x:c r="H81" s="138" t="str">
        <x:f>IF(A81="","",IF(OR(F81="Closed",F81="Accepted"),"",IF(ISNUMBER('Risk Register'!U81),IF('Risk Register'!U81&gt;0,'Risk Register'!U81-Methodology!$B$25,""),"")))</x:f>
      </x:c>
      <x:c r="I81" s="138" t="str">
        <x:f>IF(A81="","",'Risk Register'!R81)</x:f>
      </x:c>
      <x:c r="J81" s="138" t="str">
        <x:f>IF(A81="","",'Risk Register'!X81)</x:f>
      </x:c>
      <x:c r="K81" s="138" t="str">
        <x:f>IF(A81="","",IF('Risk Register'!Y81="","",'Risk Register'!Y81))</x:f>
      </x:c>
      <x:c r="L81" s="138" t="str">
        <x:f>IF(A81="","",IF('Risk Register'!Z81="","",'Risk Register'!Z81))</x:f>
      </x:c>
      <x:c r="M81" s="138" t="str">
        <x:f>IF(A81="","",IF('Risk Register'!AA81="","",'Risk Register'!AA81))</x:f>
      </x:c>
      <x:c r="N81" s="188" t="str">
        <x:f>IF(A81="","",IF('Risk Register'!AB81="","",'Risk Register'!AB81))</x:f>
      </x:c>
      <x:c r="O81" s="138" t="str">
        <x:f>IF(A81="","",IF('Risk Register'!AC81="","",'Risk Register'!AC81))</x:f>
      </x:c>
      <x:c r="P81" s="138" t="str">
        <x:f>IF(A81="","",'Risk Register'!AD81)</x:f>
      </x:c>
      <x:c r="Q81" s="138" t="str">
        <x:f>IF(A81="","",'Risk Register'!AE81)</x:f>
      </x:c>
      <x:c r="R81" s="138" t="str">
        <x:f>IF(A81="","",'Risk Register'!AF81)</x:f>
      </x:c>
      <x:c r="S81" s="138" t="str">
        <x:f>IF(A81="","",'Risk Register'!AG81)</x:f>
      </x:c>
      <x:c r="T81" s="138" t="str">
        <x:f>IF(A81="","",IF(NOT(ISNUMBER('Risk Register'!U81)),"Date needed",IF('Risk Register'!U81&lt;=0,"Date needed",IF('Risk Register'!T81="Closed","Closed",IF('Risk Register'!T81="Accepted",IF('Risk Register'!U81&lt;Methodology!$B$25,"Acceptance review due","Accepted - review scheduled"),IF('Risk Register'!U81&lt;Methodology!$B$25,"Overdue",IF('Risk Register'!U81&lt;=Methodology!$B$25+30,"Due within 30 days","Scheduled")))))))</x:f>
      </x:c>
    </x:row>
    <x:row r="82" ht="40" customHeight="1">
      <x:c r="A82" s="138" t="str">
        <x:f>IF('Risk Register'!A82="","",'Risk Register'!A82)</x:f>
      </x:c>
      <x:c r="B82" s="138" t="str">
        <x:f>IF(A82="","",'Risk Register'!D82)</x:f>
      </x:c>
      <x:c r="C82" s="138" t="str">
        <x:f>IF(A82="","",'Risk Register'!P82)</x:f>
      </x:c>
      <x:c r="D82" s="138" t="str">
        <x:f>IF(A82="","",'Risk Register'!Q82)</x:f>
      </x:c>
      <x:c r="E82" s="138" t="str">
        <x:f>IF(A82="","",'Risk Register'!S82)</x:f>
      </x:c>
      <x:c r="F82" s="138" t="str">
        <x:f>IF(A82="","",'Risk Register'!T82)</x:f>
      </x:c>
      <x:c r="G82" s="187" t="str">
        <x:f>IF(A82="","",IF(ISNUMBER('Risk Register'!U82),IF('Risk Register'!U82&gt;0,'Risk Register'!U82,""),""))</x:f>
      </x:c>
      <x:c r="H82" s="138" t="str">
        <x:f>IF(A82="","",IF(OR(F82="Closed",F82="Accepted"),"",IF(ISNUMBER('Risk Register'!U82),IF('Risk Register'!U82&gt;0,'Risk Register'!U82-Methodology!$B$25,""),"")))</x:f>
      </x:c>
      <x:c r="I82" s="138" t="str">
        <x:f>IF(A82="","",'Risk Register'!R82)</x:f>
      </x:c>
      <x:c r="J82" s="138" t="str">
        <x:f>IF(A82="","",'Risk Register'!X82)</x:f>
      </x:c>
      <x:c r="K82" s="138" t="str">
        <x:f>IF(A82="","",IF('Risk Register'!Y82="","",'Risk Register'!Y82))</x:f>
      </x:c>
      <x:c r="L82" s="138" t="str">
        <x:f>IF(A82="","",IF('Risk Register'!Z82="","",'Risk Register'!Z82))</x:f>
      </x:c>
      <x:c r="M82" s="138" t="str">
        <x:f>IF(A82="","",IF('Risk Register'!AA82="","",'Risk Register'!AA82))</x:f>
      </x:c>
      <x:c r="N82" s="188" t="str">
        <x:f>IF(A82="","",IF('Risk Register'!AB82="","",'Risk Register'!AB82))</x:f>
      </x:c>
      <x:c r="O82" s="138" t="str">
        <x:f>IF(A82="","",IF('Risk Register'!AC82="","",'Risk Register'!AC82))</x:f>
      </x:c>
      <x:c r="P82" s="138" t="str">
        <x:f>IF(A82="","",'Risk Register'!AD82)</x:f>
      </x:c>
      <x:c r="Q82" s="138" t="str">
        <x:f>IF(A82="","",'Risk Register'!AE82)</x:f>
      </x:c>
      <x:c r="R82" s="138" t="str">
        <x:f>IF(A82="","",'Risk Register'!AF82)</x:f>
      </x:c>
      <x:c r="S82" s="138" t="str">
        <x:f>IF(A82="","",'Risk Register'!AG82)</x:f>
      </x:c>
      <x:c r="T82" s="138" t="str">
        <x:f>IF(A82="","",IF(NOT(ISNUMBER('Risk Register'!U82)),"Date needed",IF('Risk Register'!U82&lt;=0,"Date needed",IF('Risk Register'!T82="Closed","Closed",IF('Risk Register'!T82="Accepted",IF('Risk Register'!U82&lt;Methodology!$B$25,"Acceptance review due","Accepted - review scheduled"),IF('Risk Register'!U82&lt;Methodology!$B$25,"Overdue",IF('Risk Register'!U82&lt;=Methodology!$B$25+30,"Due within 30 days","Scheduled")))))))</x:f>
      </x:c>
    </x:row>
    <x:row r="83" ht="40" customHeight="1">
      <x:c r="A83" s="138" t="str">
        <x:f>IF('Risk Register'!A83="","",'Risk Register'!A83)</x:f>
      </x:c>
      <x:c r="B83" s="138" t="str">
        <x:f>IF(A83="","",'Risk Register'!D83)</x:f>
      </x:c>
      <x:c r="C83" s="138" t="str">
        <x:f>IF(A83="","",'Risk Register'!P83)</x:f>
      </x:c>
      <x:c r="D83" s="138" t="str">
        <x:f>IF(A83="","",'Risk Register'!Q83)</x:f>
      </x:c>
      <x:c r="E83" s="138" t="str">
        <x:f>IF(A83="","",'Risk Register'!S83)</x:f>
      </x:c>
      <x:c r="F83" s="138" t="str">
        <x:f>IF(A83="","",'Risk Register'!T83)</x:f>
      </x:c>
      <x:c r="G83" s="187" t="str">
        <x:f>IF(A83="","",IF(ISNUMBER('Risk Register'!U83),IF('Risk Register'!U83&gt;0,'Risk Register'!U83,""),""))</x:f>
      </x:c>
      <x:c r="H83" s="138" t="str">
        <x:f>IF(A83="","",IF(OR(F83="Closed",F83="Accepted"),"",IF(ISNUMBER('Risk Register'!U83),IF('Risk Register'!U83&gt;0,'Risk Register'!U83-Methodology!$B$25,""),"")))</x:f>
      </x:c>
      <x:c r="I83" s="138" t="str">
        <x:f>IF(A83="","",'Risk Register'!R83)</x:f>
      </x:c>
      <x:c r="J83" s="138" t="str">
        <x:f>IF(A83="","",'Risk Register'!X83)</x:f>
      </x:c>
      <x:c r="K83" s="138" t="str">
        <x:f>IF(A83="","",IF('Risk Register'!Y83="","",'Risk Register'!Y83))</x:f>
      </x:c>
      <x:c r="L83" s="138" t="str">
        <x:f>IF(A83="","",IF('Risk Register'!Z83="","",'Risk Register'!Z83))</x:f>
      </x:c>
      <x:c r="M83" s="138" t="str">
        <x:f>IF(A83="","",IF('Risk Register'!AA83="","",'Risk Register'!AA83))</x:f>
      </x:c>
      <x:c r="N83" s="188" t="str">
        <x:f>IF(A83="","",IF('Risk Register'!AB83="","",'Risk Register'!AB83))</x:f>
      </x:c>
      <x:c r="O83" s="138" t="str">
        <x:f>IF(A83="","",IF('Risk Register'!AC83="","",'Risk Register'!AC83))</x:f>
      </x:c>
      <x:c r="P83" s="138" t="str">
        <x:f>IF(A83="","",'Risk Register'!AD83)</x:f>
      </x:c>
      <x:c r="Q83" s="138" t="str">
        <x:f>IF(A83="","",'Risk Register'!AE83)</x:f>
      </x:c>
      <x:c r="R83" s="138" t="str">
        <x:f>IF(A83="","",'Risk Register'!AF83)</x:f>
      </x:c>
      <x:c r="S83" s="138" t="str">
        <x:f>IF(A83="","",'Risk Register'!AG83)</x:f>
      </x:c>
      <x:c r="T83" s="138" t="str">
        <x:f>IF(A83="","",IF(NOT(ISNUMBER('Risk Register'!U83)),"Date needed",IF('Risk Register'!U83&lt;=0,"Date needed",IF('Risk Register'!T83="Closed","Closed",IF('Risk Register'!T83="Accepted",IF('Risk Register'!U83&lt;Methodology!$B$25,"Acceptance review due","Accepted - review scheduled"),IF('Risk Register'!U83&lt;Methodology!$B$25,"Overdue",IF('Risk Register'!U83&lt;=Methodology!$B$25+30,"Due within 30 days","Scheduled")))))))</x:f>
      </x:c>
    </x:row>
    <x:row r="84" ht="40" customHeight="1">
      <x:c r="A84" s="138" t="str">
        <x:f>IF('Risk Register'!A84="","",'Risk Register'!A84)</x:f>
      </x:c>
      <x:c r="B84" s="138" t="str">
        <x:f>IF(A84="","",'Risk Register'!D84)</x:f>
      </x:c>
      <x:c r="C84" s="138" t="str">
        <x:f>IF(A84="","",'Risk Register'!P84)</x:f>
      </x:c>
      <x:c r="D84" s="138" t="str">
        <x:f>IF(A84="","",'Risk Register'!Q84)</x:f>
      </x:c>
      <x:c r="E84" s="138" t="str">
        <x:f>IF(A84="","",'Risk Register'!S84)</x:f>
      </x:c>
      <x:c r="F84" s="138" t="str">
        <x:f>IF(A84="","",'Risk Register'!T84)</x:f>
      </x:c>
      <x:c r="G84" s="187" t="str">
        <x:f>IF(A84="","",IF(ISNUMBER('Risk Register'!U84),IF('Risk Register'!U84&gt;0,'Risk Register'!U84,""),""))</x:f>
      </x:c>
      <x:c r="H84" s="138" t="str">
        <x:f>IF(A84="","",IF(OR(F84="Closed",F84="Accepted"),"",IF(ISNUMBER('Risk Register'!U84),IF('Risk Register'!U84&gt;0,'Risk Register'!U84-Methodology!$B$25,""),"")))</x:f>
      </x:c>
      <x:c r="I84" s="138" t="str">
        <x:f>IF(A84="","",'Risk Register'!R84)</x:f>
      </x:c>
      <x:c r="J84" s="138" t="str">
        <x:f>IF(A84="","",'Risk Register'!X84)</x:f>
      </x:c>
      <x:c r="K84" s="138" t="str">
        <x:f>IF(A84="","",IF('Risk Register'!Y84="","",'Risk Register'!Y84))</x:f>
      </x:c>
      <x:c r="L84" s="138" t="str">
        <x:f>IF(A84="","",IF('Risk Register'!Z84="","",'Risk Register'!Z84))</x:f>
      </x:c>
      <x:c r="M84" s="138" t="str">
        <x:f>IF(A84="","",IF('Risk Register'!AA84="","",'Risk Register'!AA84))</x:f>
      </x:c>
      <x:c r="N84" s="188" t="str">
        <x:f>IF(A84="","",IF('Risk Register'!AB84="","",'Risk Register'!AB84))</x:f>
      </x:c>
      <x:c r="O84" s="138" t="str">
        <x:f>IF(A84="","",IF('Risk Register'!AC84="","",'Risk Register'!AC84))</x:f>
      </x:c>
      <x:c r="P84" s="138" t="str">
        <x:f>IF(A84="","",'Risk Register'!AD84)</x:f>
      </x:c>
      <x:c r="Q84" s="138" t="str">
        <x:f>IF(A84="","",'Risk Register'!AE84)</x:f>
      </x:c>
      <x:c r="R84" s="138" t="str">
        <x:f>IF(A84="","",'Risk Register'!AF84)</x:f>
      </x:c>
      <x:c r="S84" s="138" t="str">
        <x:f>IF(A84="","",'Risk Register'!AG84)</x:f>
      </x:c>
      <x:c r="T84" s="138" t="str">
        <x:f>IF(A84="","",IF(NOT(ISNUMBER('Risk Register'!U84)),"Date needed",IF('Risk Register'!U84&lt;=0,"Date needed",IF('Risk Register'!T84="Closed","Closed",IF('Risk Register'!T84="Accepted",IF('Risk Register'!U84&lt;Methodology!$B$25,"Acceptance review due","Accepted - review scheduled"),IF('Risk Register'!U84&lt;Methodology!$B$25,"Overdue",IF('Risk Register'!U84&lt;=Methodology!$B$25+30,"Due within 30 days","Scheduled")))))))</x:f>
      </x:c>
    </x:row>
    <x:row r="85" ht="40" customHeight="1">
      <x:c r="A85" s="138" t="str">
        <x:f>IF('Risk Register'!A85="","",'Risk Register'!A85)</x:f>
      </x:c>
      <x:c r="B85" s="138" t="str">
        <x:f>IF(A85="","",'Risk Register'!D85)</x:f>
      </x:c>
      <x:c r="C85" s="138" t="str">
        <x:f>IF(A85="","",'Risk Register'!P85)</x:f>
      </x:c>
      <x:c r="D85" s="138" t="str">
        <x:f>IF(A85="","",'Risk Register'!Q85)</x:f>
      </x:c>
      <x:c r="E85" s="138" t="str">
        <x:f>IF(A85="","",'Risk Register'!S85)</x:f>
      </x:c>
      <x:c r="F85" s="138" t="str">
        <x:f>IF(A85="","",'Risk Register'!T85)</x:f>
      </x:c>
      <x:c r="G85" s="187" t="str">
        <x:f>IF(A85="","",IF(ISNUMBER('Risk Register'!U85),IF('Risk Register'!U85&gt;0,'Risk Register'!U85,""),""))</x:f>
      </x:c>
      <x:c r="H85" s="138" t="str">
        <x:f>IF(A85="","",IF(OR(F85="Closed",F85="Accepted"),"",IF(ISNUMBER('Risk Register'!U85),IF('Risk Register'!U85&gt;0,'Risk Register'!U85-Methodology!$B$25,""),"")))</x:f>
      </x:c>
      <x:c r="I85" s="138" t="str">
        <x:f>IF(A85="","",'Risk Register'!R85)</x:f>
      </x:c>
      <x:c r="J85" s="138" t="str">
        <x:f>IF(A85="","",'Risk Register'!X85)</x:f>
      </x:c>
      <x:c r="K85" s="138" t="str">
        <x:f>IF(A85="","",IF('Risk Register'!Y85="","",'Risk Register'!Y85))</x:f>
      </x:c>
      <x:c r="L85" s="138" t="str">
        <x:f>IF(A85="","",IF('Risk Register'!Z85="","",'Risk Register'!Z85))</x:f>
      </x:c>
      <x:c r="M85" s="138" t="str">
        <x:f>IF(A85="","",IF('Risk Register'!AA85="","",'Risk Register'!AA85))</x:f>
      </x:c>
      <x:c r="N85" s="188" t="str">
        <x:f>IF(A85="","",IF('Risk Register'!AB85="","",'Risk Register'!AB85))</x:f>
      </x:c>
      <x:c r="O85" s="138" t="str">
        <x:f>IF(A85="","",IF('Risk Register'!AC85="","",'Risk Register'!AC85))</x:f>
      </x:c>
      <x:c r="P85" s="138" t="str">
        <x:f>IF(A85="","",'Risk Register'!AD85)</x:f>
      </x:c>
      <x:c r="Q85" s="138" t="str">
        <x:f>IF(A85="","",'Risk Register'!AE85)</x:f>
      </x:c>
      <x:c r="R85" s="138" t="str">
        <x:f>IF(A85="","",'Risk Register'!AF85)</x:f>
      </x:c>
      <x:c r="S85" s="138" t="str">
        <x:f>IF(A85="","",'Risk Register'!AG85)</x:f>
      </x:c>
      <x:c r="T85" s="138" t="str">
        <x:f>IF(A85="","",IF(NOT(ISNUMBER('Risk Register'!U85)),"Date needed",IF('Risk Register'!U85&lt;=0,"Date needed",IF('Risk Register'!T85="Closed","Closed",IF('Risk Register'!T85="Accepted",IF('Risk Register'!U85&lt;Methodology!$B$25,"Acceptance review due","Accepted - review scheduled"),IF('Risk Register'!U85&lt;Methodology!$B$25,"Overdue",IF('Risk Register'!U85&lt;=Methodology!$B$25+30,"Due within 30 days","Scheduled")))))))</x:f>
      </x:c>
    </x:row>
    <x:row r="86" ht="40" customHeight="1">
      <x:c r="A86" s="138" t="str">
        <x:f>IF('Risk Register'!A86="","",'Risk Register'!A86)</x:f>
      </x:c>
      <x:c r="B86" s="138" t="str">
        <x:f>IF(A86="","",'Risk Register'!D86)</x:f>
      </x:c>
      <x:c r="C86" s="138" t="str">
        <x:f>IF(A86="","",'Risk Register'!P86)</x:f>
      </x:c>
      <x:c r="D86" s="138" t="str">
        <x:f>IF(A86="","",'Risk Register'!Q86)</x:f>
      </x:c>
      <x:c r="E86" s="138" t="str">
        <x:f>IF(A86="","",'Risk Register'!S86)</x:f>
      </x:c>
      <x:c r="F86" s="138" t="str">
        <x:f>IF(A86="","",'Risk Register'!T86)</x:f>
      </x:c>
      <x:c r="G86" s="187" t="str">
        <x:f>IF(A86="","",IF(ISNUMBER('Risk Register'!U86),IF('Risk Register'!U86&gt;0,'Risk Register'!U86,""),""))</x:f>
      </x:c>
      <x:c r="H86" s="138" t="str">
        <x:f>IF(A86="","",IF(OR(F86="Closed",F86="Accepted"),"",IF(ISNUMBER('Risk Register'!U86),IF('Risk Register'!U86&gt;0,'Risk Register'!U86-Methodology!$B$25,""),"")))</x:f>
      </x:c>
      <x:c r="I86" s="138" t="str">
        <x:f>IF(A86="","",'Risk Register'!R86)</x:f>
      </x:c>
      <x:c r="J86" s="138" t="str">
        <x:f>IF(A86="","",'Risk Register'!X86)</x:f>
      </x:c>
      <x:c r="K86" s="138" t="str">
        <x:f>IF(A86="","",IF('Risk Register'!Y86="","",'Risk Register'!Y86))</x:f>
      </x:c>
      <x:c r="L86" s="138" t="str">
        <x:f>IF(A86="","",IF('Risk Register'!Z86="","",'Risk Register'!Z86))</x:f>
      </x:c>
      <x:c r="M86" s="138" t="str">
        <x:f>IF(A86="","",IF('Risk Register'!AA86="","",'Risk Register'!AA86))</x:f>
      </x:c>
      <x:c r="N86" s="188" t="str">
        <x:f>IF(A86="","",IF('Risk Register'!AB86="","",'Risk Register'!AB86))</x:f>
      </x:c>
      <x:c r="O86" s="138" t="str">
        <x:f>IF(A86="","",IF('Risk Register'!AC86="","",'Risk Register'!AC86))</x:f>
      </x:c>
      <x:c r="P86" s="138" t="str">
        <x:f>IF(A86="","",'Risk Register'!AD86)</x:f>
      </x:c>
      <x:c r="Q86" s="138" t="str">
        <x:f>IF(A86="","",'Risk Register'!AE86)</x:f>
      </x:c>
      <x:c r="R86" s="138" t="str">
        <x:f>IF(A86="","",'Risk Register'!AF86)</x:f>
      </x:c>
      <x:c r="S86" s="138" t="str">
        <x:f>IF(A86="","",'Risk Register'!AG86)</x:f>
      </x:c>
      <x:c r="T86" s="138" t="str">
        <x:f>IF(A86="","",IF(NOT(ISNUMBER('Risk Register'!U86)),"Date needed",IF('Risk Register'!U86&lt;=0,"Date needed",IF('Risk Register'!T86="Closed","Closed",IF('Risk Register'!T86="Accepted",IF('Risk Register'!U86&lt;Methodology!$B$25,"Acceptance review due","Accepted - review scheduled"),IF('Risk Register'!U86&lt;Methodology!$B$25,"Overdue",IF('Risk Register'!U86&lt;=Methodology!$B$25+30,"Due within 30 days","Scheduled")))))))</x:f>
      </x:c>
    </x:row>
    <x:row r="87" ht="40" customHeight="1">
      <x:c r="A87" s="138" t="str">
        <x:f>IF('Risk Register'!A87="","",'Risk Register'!A87)</x:f>
      </x:c>
      <x:c r="B87" s="138" t="str">
        <x:f>IF(A87="","",'Risk Register'!D87)</x:f>
      </x:c>
      <x:c r="C87" s="138" t="str">
        <x:f>IF(A87="","",'Risk Register'!P87)</x:f>
      </x:c>
      <x:c r="D87" s="138" t="str">
        <x:f>IF(A87="","",'Risk Register'!Q87)</x:f>
      </x:c>
      <x:c r="E87" s="138" t="str">
        <x:f>IF(A87="","",'Risk Register'!S87)</x:f>
      </x:c>
      <x:c r="F87" s="138" t="str">
        <x:f>IF(A87="","",'Risk Register'!T87)</x:f>
      </x:c>
      <x:c r="G87" s="187" t="str">
        <x:f>IF(A87="","",IF(ISNUMBER('Risk Register'!U87),IF('Risk Register'!U87&gt;0,'Risk Register'!U87,""),""))</x:f>
      </x:c>
      <x:c r="H87" s="138" t="str">
        <x:f>IF(A87="","",IF(OR(F87="Closed",F87="Accepted"),"",IF(ISNUMBER('Risk Register'!U87),IF('Risk Register'!U87&gt;0,'Risk Register'!U87-Methodology!$B$25,""),"")))</x:f>
      </x:c>
      <x:c r="I87" s="138" t="str">
        <x:f>IF(A87="","",'Risk Register'!R87)</x:f>
      </x:c>
      <x:c r="J87" s="138" t="str">
        <x:f>IF(A87="","",'Risk Register'!X87)</x:f>
      </x:c>
      <x:c r="K87" s="138" t="str">
        <x:f>IF(A87="","",IF('Risk Register'!Y87="","",'Risk Register'!Y87))</x:f>
      </x:c>
      <x:c r="L87" s="138" t="str">
        <x:f>IF(A87="","",IF('Risk Register'!Z87="","",'Risk Register'!Z87))</x:f>
      </x:c>
      <x:c r="M87" s="138" t="str">
        <x:f>IF(A87="","",IF('Risk Register'!AA87="","",'Risk Register'!AA87))</x:f>
      </x:c>
      <x:c r="N87" s="188" t="str">
        <x:f>IF(A87="","",IF('Risk Register'!AB87="","",'Risk Register'!AB87))</x:f>
      </x:c>
      <x:c r="O87" s="138" t="str">
        <x:f>IF(A87="","",IF('Risk Register'!AC87="","",'Risk Register'!AC87))</x:f>
      </x:c>
      <x:c r="P87" s="138" t="str">
        <x:f>IF(A87="","",'Risk Register'!AD87)</x:f>
      </x:c>
      <x:c r="Q87" s="138" t="str">
        <x:f>IF(A87="","",'Risk Register'!AE87)</x:f>
      </x:c>
      <x:c r="R87" s="138" t="str">
        <x:f>IF(A87="","",'Risk Register'!AF87)</x:f>
      </x:c>
      <x:c r="S87" s="138" t="str">
        <x:f>IF(A87="","",'Risk Register'!AG87)</x:f>
      </x:c>
      <x:c r="T87" s="138" t="str">
        <x:f>IF(A87="","",IF(NOT(ISNUMBER('Risk Register'!U87)),"Date needed",IF('Risk Register'!U87&lt;=0,"Date needed",IF('Risk Register'!T87="Closed","Closed",IF('Risk Register'!T87="Accepted",IF('Risk Register'!U87&lt;Methodology!$B$25,"Acceptance review due","Accepted - review scheduled"),IF('Risk Register'!U87&lt;Methodology!$B$25,"Overdue",IF('Risk Register'!U87&lt;=Methodology!$B$25+30,"Due within 30 days","Scheduled")))))))</x:f>
      </x:c>
    </x:row>
    <x:row r="88" ht="40" customHeight="1">
      <x:c r="A88" s="138" t="str">
        <x:f>IF('Risk Register'!A88="","",'Risk Register'!A88)</x:f>
      </x:c>
      <x:c r="B88" s="138" t="str">
        <x:f>IF(A88="","",'Risk Register'!D88)</x:f>
      </x:c>
      <x:c r="C88" s="138" t="str">
        <x:f>IF(A88="","",'Risk Register'!P88)</x:f>
      </x:c>
      <x:c r="D88" s="138" t="str">
        <x:f>IF(A88="","",'Risk Register'!Q88)</x:f>
      </x:c>
      <x:c r="E88" s="138" t="str">
        <x:f>IF(A88="","",'Risk Register'!S88)</x:f>
      </x:c>
      <x:c r="F88" s="138" t="str">
        <x:f>IF(A88="","",'Risk Register'!T88)</x:f>
      </x:c>
      <x:c r="G88" s="187" t="str">
        <x:f>IF(A88="","",IF(ISNUMBER('Risk Register'!U88),IF('Risk Register'!U88&gt;0,'Risk Register'!U88,""),""))</x:f>
      </x:c>
      <x:c r="H88" s="138" t="str">
        <x:f>IF(A88="","",IF(OR(F88="Closed",F88="Accepted"),"",IF(ISNUMBER('Risk Register'!U88),IF('Risk Register'!U88&gt;0,'Risk Register'!U88-Methodology!$B$25,""),"")))</x:f>
      </x:c>
      <x:c r="I88" s="138" t="str">
        <x:f>IF(A88="","",'Risk Register'!R88)</x:f>
      </x:c>
      <x:c r="J88" s="138" t="str">
        <x:f>IF(A88="","",'Risk Register'!X88)</x:f>
      </x:c>
      <x:c r="K88" s="138" t="str">
        <x:f>IF(A88="","",IF('Risk Register'!Y88="","",'Risk Register'!Y88))</x:f>
      </x:c>
      <x:c r="L88" s="138" t="str">
        <x:f>IF(A88="","",IF('Risk Register'!Z88="","",'Risk Register'!Z88))</x:f>
      </x:c>
      <x:c r="M88" s="138" t="str">
        <x:f>IF(A88="","",IF('Risk Register'!AA88="","",'Risk Register'!AA88))</x:f>
      </x:c>
      <x:c r="N88" s="188" t="str">
        <x:f>IF(A88="","",IF('Risk Register'!AB88="","",'Risk Register'!AB88))</x:f>
      </x:c>
      <x:c r="O88" s="138" t="str">
        <x:f>IF(A88="","",IF('Risk Register'!AC88="","",'Risk Register'!AC88))</x:f>
      </x:c>
      <x:c r="P88" s="138" t="str">
        <x:f>IF(A88="","",'Risk Register'!AD88)</x:f>
      </x:c>
      <x:c r="Q88" s="138" t="str">
        <x:f>IF(A88="","",'Risk Register'!AE88)</x:f>
      </x:c>
      <x:c r="R88" s="138" t="str">
        <x:f>IF(A88="","",'Risk Register'!AF88)</x:f>
      </x:c>
      <x:c r="S88" s="138" t="str">
        <x:f>IF(A88="","",'Risk Register'!AG88)</x:f>
      </x:c>
      <x:c r="T88" s="138" t="str">
        <x:f>IF(A88="","",IF(NOT(ISNUMBER('Risk Register'!U88)),"Date needed",IF('Risk Register'!U88&lt;=0,"Date needed",IF('Risk Register'!T88="Closed","Closed",IF('Risk Register'!T88="Accepted",IF('Risk Register'!U88&lt;Methodology!$B$25,"Acceptance review due","Accepted - review scheduled"),IF('Risk Register'!U88&lt;Methodology!$B$25,"Overdue",IF('Risk Register'!U88&lt;=Methodology!$B$25+30,"Due within 30 days","Scheduled")))))))</x:f>
      </x:c>
    </x:row>
    <x:row r="89" ht="40" customHeight="1">
      <x:c r="A89" s="138" t="str">
        <x:f>IF('Risk Register'!A89="","",'Risk Register'!A89)</x:f>
      </x:c>
      <x:c r="B89" s="138" t="str">
        <x:f>IF(A89="","",'Risk Register'!D89)</x:f>
      </x:c>
      <x:c r="C89" s="138" t="str">
        <x:f>IF(A89="","",'Risk Register'!P89)</x:f>
      </x:c>
      <x:c r="D89" s="138" t="str">
        <x:f>IF(A89="","",'Risk Register'!Q89)</x:f>
      </x:c>
      <x:c r="E89" s="138" t="str">
        <x:f>IF(A89="","",'Risk Register'!S89)</x:f>
      </x:c>
      <x:c r="F89" s="138" t="str">
        <x:f>IF(A89="","",'Risk Register'!T89)</x:f>
      </x:c>
      <x:c r="G89" s="187" t="str">
        <x:f>IF(A89="","",IF(ISNUMBER('Risk Register'!U89),IF('Risk Register'!U89&gt;0,'Risk Register'!U89,""),""))</x:f>
      </x:c>
      <x:c r="H89" s="138" t="str">
        <x:f>IF(A89="","",IF(OR(F89="Closed",F89="Accepted"),"",IF(ISNUMBER('Risk Register'!U89),IF('Risk Register'!U89&gt;0,'Risk Register'!U89-Methodology!$B$25,""),"")))</x:f>
      </x:c>
      <x:c r="I89" s="138" t="str">
        <x:f>IF(A89="","",'Risk Register'!R89)</x:f>
      </x:c>
      <x:c r="J89" s="138" t="str">
        <x:f>IF(A89="","",'Risk Register'!X89)</x:f>
      </x:c>
      <x:c r="K89" s="138" t="str">
        <x:f>IF(A89="","",IF('Risk Register'!Y89="","",'Risk Register'!Y89))</x:f>
      </x:c>
      <x:c r="L89" s="138" t="str">
        <x:f>IF(A89="","",IF('Risk Register'!Z89="","",'Risk Register'!Z89))</x:f>
      </x:c>
      <x:c r="M89" s="138" t="str">
        <x:f>IF(A89="","",IF('Risk Register'!AA89="","",'Risk Register'!AA89))</x:f>
      </x:c>
      <x:c r="N89" s="188" t="str">
        <x:f>IF(A89="","",IF('Risk Register'!AB89="","",'Risk Register'!AB89))</x:f>
      </x:c>
      <x:c r="O89" s="138" t="str">
        <x:f>IF(A89="","",IF('Risk Register'!AC89="","",'Risk Register'!AC89))</x:f>
      </x:c>
      <x:c r="P89" s="138" t="str">
        <x:f>IF(A89="","",'Risk Register'!AD89)</x:f>
      </x:c>
      <x:c r="Q89" s="138" t="str">
        <x:f>IF(A89="","",'Risk Register'!AE89)</x:f>
      </x:c>
      <x:c r="R89" s="138" t="str">
        <x:f>IF(A89="","",'Risk Register'!AF89)</x:f>
      </x:c>
      <x:c r="S89" s="138" t="str">
        <x:f>IF(A89="","",'Risk Register'!AG89)</x:f>
      </x:c>
      <x:c r="T89" s="138" t="str">
        <x:f>IF(A89="","",IF(NOT(ISNUMBER('Risk Register'!U89)),"Date needed",IF('Risk Register'!U89&lt;=0,"Date needed",IF('Risk Register'!T89="Closed","Closed",IF('Risk Register'!T89="Accepted",IF('Risk Register'!U89&lt;Methodology!$B$25,"Acceptance review due","Accepted - review scheduled"),IF('Risk Register'!U89&lt;Methodology!$B$25,"Overdue",IF('Risk Register'!U89&lt;=Methodology!$B$25+30,"Due within 30 days","Scheduled")))))))</x:f>
      </x:c>
    </x:row>
    <x:row r="90" ht="40" customHeight="1">
      <x:c r="A90" s="138" t="str">
        <x:f>IF('Risk Register'!A90="","",'Risk Register'!A90)</x:f>
      </x:c>
      <x:c r="B90" s="138" t="str">
        <x:f>IF(A90="","",'Risk Register'!D90)</x:f>
      </x:c>
      <x:c r="C90" s="138" t="str">
        <x:f>IF(A90="","",'Risk Register'!P90)</x:f>
      </x:c>
      <x:c r="D90" s="138" t="str">
        <x:f>IF(A90="","",'Risk Register'!Q90)</x:f>
      </x:c>
      <x:c r="E90" s="138" t="str">
        <x:f>IF(A90="","",'Risk Register'!S90)</x:f>
      </x:c>
      <x:c r="F90" s="138" t="str">
        <x:f>IF(A90="","",'Risk Register'!T90)</x:f>
      </x:c>
      <x:c r="G90" s="187" t="str">
        <x:f>IF(A90="","",IF(ISNUMBER('Risk Register'!U90),IF('Risk Register'!U90&gt;0,'Risk Register'!U90,""),""))</x:f>
      </x:c>
      <x:c r="H90" s="138" t="str">
        <x:f>IF(A90="","",IF(OR(F90="Closed",F90="Accepted"),"",IF(ISNUMBER('Risk Register'!U90),IF('Risk Register'!U90&gt;0,'Risk Register'!U90-Methodology!$B$25,""),"")))</x:f>
      </x:c>
      <x:c r="I90" s="138" t="str">
        <x:f>IF(A90="","",'Risk Register'!R90)</x:f>
      </x:c>
      <x:c r="J90" s="138" t="str">
        <x:f>IF(A90="","",'Risk Register'!X90)</x:f>
      </x:c>
      <x:c r="K90" s="138" t="str">
        <x:f>IF(A90="","",IF('Risk Register'!Y90="","",'Risk Register'!Y90))</x:f>
      </x:c>
      <x:c r="L90" s="138" t="str">
        <x:f>IF(A90="","",IF('Risk Register'!Z90="","",'Risk Register'!Z90))</x:f>
      </x:c>
      <x:c r="M90" s="138" t="str">
        <x:f>IF(A90="","",IF('Risk Register'!AA90="","",'Risk Register'!AA90))</x:f>
      </x:c>
      <x:c r="N90" s="188" t="str">
        <x:f>IF(A90="","",IF('Risk Register'!AB90="","",'Risk Register'!AB90))</x:f>
      </x:c>
      <x:c r="O90" s="138" t="str">
        <x:f>IF(A90="","",IF('Risk Register'!AC90="","",'Risk Register'!AC90))</x:f>
      </x:c>
      <x:c r="P90" s="138" t="str">
        <x:f>IF(A90="","",'Risk Register'!AD90)</x:f>
      </x:c>
      <x:c r="Q90" s="138" t="str">
        <x:f>IF(A90="","",'Risk Register'!AE90)</x:f>
      </x:c>
      <x:c r="R90" s="138" t="str">
        <x:f>IF(A90="","",'Risk Register'!AF90)</x:f>
      </x:c>
      <x:c r="S90" s="138" t="str">
        <x:f>IF(A90="","",'Risk Register'!AG90)</x:f>
      </x:c>
      <x:c r="T90" s="138" t="str">
        <x:f>IF(A90="","",IF(NOT(ISNUMBER('Risk Register'!U90)),"Date needed",IF('Risk Register'!U90&lt;=0,"Date needed",IF('Risk Register'!T90="Closed","Closed",IF('Risk Register'!T90="Accepted",IF('Risk Register'!U90&lt;Methodology!$B$25,"Acceptance review due","Accepted - review scheduled"),IF('Risk Register'!U90&lt;Methodology!$B$25,"Overdue",IF('Risk Register'!U90&lt;=Methodology!$B$25+30,"Due within 30 days","Scheduled")))))))</x:f>
      </x:c>
    </x:row>
    <x:row r="91" ht="40" customHeight="1">
      <x:c r="A91" s="138" t="str">
        <x:f>IF('Risk Register'!A91="","",'Risk Register'!A91)</x:f>
      </x:c>
      <x:c r="B91" s="138" t="str">
        <x:f>IF(A91="","",'Risk Register'!D91)</x:f>
      </x:c>
      <x:c r="C91" s="138" t="str">
        <x:f>IF(A91="","",'Risk Register'!P91)</x:f>
      </x:c>
      <x:c r="D91" s="138" t="str">
        <x:f>IF(A91="","",'Risk Register'!Q91)</x:f>
      </x:c>
      <x:c r="E91" s="138" t="str">
        <x:f>IF(A91="","",'Risk Register'!S91)</x:f>
      </x:c>
      <x:c r="F91" s="138" t="str">
        <x:f>IF(A91="","",'Risk Register'!T91)</x:f>
      </x:c>
      <x:c r="G91" s="187" t="str">
        <x:f>IF(A91="","",IF(ISNUMBER('Risk Register'!U91),IF('Risk Register'!U91&gt;0,'Risk Register'!U91,""),""))</x:f>
      </x:c>
      <x:c r="H91" s="138" t="str">
        <x:f>IF(A91="","",IF(OR(F91="Closed",F91="Accepted"),"",IF(ISNUMBER('Risk Register'!U91),IF('Risk Register'!U91&gt;0,'Risk Register'!U91-Methodology!$B$25,""),"")))</x:f>
      </x:c>
      <x:c r="I91" s="138" t="str">
        <x:f>IF(A91="","",'Risk Register'!R91)</x:f>
      </x:c>
      <x:c r="J91" s="138" t="str">
        <x:f>IF(A91="","",'Risk Register'!X91)</x:f>
      </x:c>
      <x:c r="K91" s="138" t="str">
        <x:f>IF(A91="","",IF('Risk Register'!Y91="","",'Risk Register'!Y91))</x:f>
      </x:c>
      <x:c r="L91" s="138" t="str">
        <x:f>IF(A91="","",IF('Risk Register'!Z91="","",'Risk Register'!Z91))</x:f>
      </x:c>
      <x:c r="M91" s="138" t="str">
        <x:f>IF(A91="","",IF('Risk Register'!AA91="","",'Risk Register'!AA91))</x:f>
      </x:c>
      <x:c r="N91" s="188" t="str">
        <x:f>IF(A91="","",IF('Risk Register'!AB91="","",'Risk Register'!AB91))</x:f>
      </x:c>
      <x:c r="O91" s="138" t="str">
        <x:f>IF(A91="","",IF('Risk Register'!AC91="","",'Risk Register'!AC91))</x:f>
      </x:c>
      <x:c r="P91" s="138" t="str">
        <x:f>IF(A91="","",'Risk Register'!AD91)</x:f>
      </x:c>
      <x:c r="Q91" s="138" t="str">
        <x:f>IF(A91="","",'Risk Register'!AE91)</x:f>
      </x:c>
      <x:c r="R91" s="138" t="str">
        <x:f>IF(A91="","",'Risk Register'!AF91)</x:f>
      </x:c>
      <x:c r="S91" s="138" t="str">
        <x:f>IF(A91="","",'Risk Register'!AG91)</x:f>
      </x:c>
      <x:c r="T91" s="138" t="str">
        <x:f>IF(A91="","",IF(NOT(ISNUMBER('Risk Register'!U91)),"Date needed",IF('Risk Register'!U91&lt;=0,"Date needed",IF('Risk Register'!T91="Closed","Closed",IF('Risk Register'!T91="Accepted",IF('Risk Register'!U91&lt;Methodology!$B$25,"Acceptance review due","Accepted - review scheduled"),IF('Risk Register'!U91&lt;Methodology!$B$25,"Overdue",IF('Risk Register'!U91&lt;=Methodology!$B$25+30,"Due within 30 days","Scheduled")))))))</x:f>
      </x:c>
    </x:row>
    <x:row r="92" ht="40" customHeight="1">
      <x:c r="A92" s="138" t="str">
        <x:f>IF('Risk Register'!A92="","",'Risk Register'!A92)</x:f>
      </x:c>
      <x:c r="B92" s="138" t="str">
        <x:f>IF(A92="","",'Risk Register'!D92)</x:f>
      </x:c>
      <x:c r="C92" s="138" t="str">
        <x:f>IF(A92="","",'Risk Register'!P92)</x:f>
      </x:c>
      <x:c r="D92" s="138" t="str">
        <x:f>IF(A92="","",'Risk Register'!Q92)</x:f>
      </x:c>
      <x:c r="E92" s="138" t="str">
        <x:f>IF(A92="","",'Risk Register'!S92)</x:f>
      </x:c>
      <x:c r="F92" s="138" t="str">
        <x:f>IF(A92="","",'Risk Register'!T92)</x:f>
      </x:c>
      <x:c r="G92" s="187" t="str">
        <x:f>IF(A92="","",IF(ISNUMBER('Risk Register'!U92),IF('Risk Register'!U92&gt;0,'Risk Register'!U92,""),""))</x:f>
      </x:c>
      <x:c r="H92" s="138" t="str">
        <x:f>IF(A92="","",IF(OR(F92="Closed",F92="Accepted"),"",IF(ISNUMBER('Risk Register'!U92),IF('Risk Register'!U92&gt;0,'Risk Register'!U92-Methodology!$B$25,""),"")))</x:f>
      </x:c>
      <x:c r="I92" s="138" t="str">
        <x:f>IF(A92="","",'Risk Register'!R92)</x:f>
      </x:c>
      <x:c r="J92" s="138" t="str">
        <x:f>IF(A92="","",'Risk Register'!X92)</x:f>
      </x:c>
      <x:c r="K92" s="138" t="str">
        <x:f>IF(A92="","",IF('Risk Register'!Y92="","",'Risk Register'!Y92))</x:f>
      </x:c>
      <x:c r="L92" s="138" t="str">
        <x:f>IF(A92="","",IF('Risk Register'!Z92="","",'Risk Register'!Z92))</x:f>
      </x:c>
      <x:c r="M92" s="138" t="str">
        <x:f>IF(A92="","",IF('Risk Register'!AA92="","",'Risk Register'!AA92))</x:f>
      </x:c>
      <x:c r="N92" s="188" t="str">
        <x:f>IF(A92="","",IF('Risk Register'!AB92="","",'Risk Register'!AB92))</x:f>
      </x:c>
      <x:c r="O92" s="138" t="str">
        <x:f>IF(A92="","",IF('Risk Register'!AC92="","",'Risk Register'!AC92))</x:f>
      </x:c>
      <x:c r="P92" s="138" t="str">
        <x:f>IF(A92="","",'Risk Register'!AD92)</x:f>
      </x:c>
      <x:c r="Q92" s="138" t="str">
        <x:f>IF(A92="","",'Risk Register'!AE92)</x:f>
      </x:c>
      <x:c r="R92" s="138" t="str">
        <x:f>IF(A92="","",'Risk Register'!AF92)</x:f>
      </x:c>
      <x:c r="S92" s="138" t="str">
        <x:f>IF(A92="","",'Risk Register'!AG92)</x:f>
      </x:c>
      <x:c r="T92" s="138" t="str">
        <x:f>IF(A92="","",IF(NOT(ISNUMBER('Risk Register'!U92)),"Date needed",IF('Risk Register'!U92&lt;=0,"Date needed",IF('Risk Register'!T92="Closed","Closed",IF('Risk Register'!T92="Accepted",IF('Risk Register'!U92&lt;Methodology!$B$25,"Acceptance review due","Accepted - review scheduled"),IF('Risk Register'!U92&lt;Methodology!$B$25,"Overdue",IF('Risk Register'!U92&lt;=Methodology!$B$25+30,"Due within 30 days","Scheduled")))))))</x:f>
      </x:c>
    </x:row>
    <x:row r="93" ht="40" customHeight="1">
      <x:c r="A93" s="138" t="str">
        <x:f>IF('Risk Register'!A93="","",'Risk Register'!A93)</x:f>
      </x:c>
      <x:c r="B93" s="138" t="str">
        <x:f>IF(A93="","",'Risk Register'!D93)</x:f>
      </x:c>
      <x:c r="C93" s="138" t="str">
        <x:f>IF(A93="","",'Risk Register'!P93)</x:f>
      </x:c>
      <x:c r="D93" s="138" t="str">
        <x:f>IF(A93="","",'Risk Register'!Q93)</x:f>
      </x:c>
      <x:c r="E93" s="138" t="str">
        <x:f>IF(A93="","",'Risk Register'!S93)</x:f>
      </x:c>
      <x:c r="F93" s="138" t="str">
        <x:f>IF(A93="","",'Risk Register'!T93)</x:f>
      </x:c>
      <x:c r="G93" s="187" t="str">
        <x:f>IF(A93="","",IF(ISNUMBER('Risk Register'!U93),IF('Risk Register'!U93&gt;0,'Risk Register'!U93,""),""))</x:f>
      </x:c>
      <x:c r="H93" s="138" t="str">
        <x:f>IF(A93="","",IF(OR(F93="Closed",F93="Accepted"),"",IF(ISNUMBER('Risk Register'!U93),IF('Risk Register'!U93&gt;0,'Risk Register'!U93-Methodology!$B$25,""),"")))</x:f>
      </x:c>
      <x:c r="I93" s="138" t="str">
        <x:f>IF(A93="","",'Risk Register'!R93)</x:f>
      </x:c>
      <x:c r="J93" s="138" t="str">
        <x:f>IF(A93="","",'Risk Register'!X93)</x:f>
      </x:c>
      <x:c r="K93" s="138" t="str">
        <x:f>IF(A93="","",IF('Risk Register'!Y93="","",'Risk Register'!Y93))</x:f>
      </x:c>
      <x:c r="L93" s="138" t="str">
        <x:f>IF(A93="","",IF('Risk Register'!Z93="","",'Risk Register'!Z93))</x:f>
      </x:c>
      <x:c r="M93" s="138" t="str">
        <x:f>IF(A93="","",IF('Risk Register'!AA93="","",'Risk Register'!AA93))</x:f>
      </x:c>
      <x:c r="N93" s="188" t="str">
        <x:f>IF(A93="","",IF('Risk Register'!AB93="","",'Risk Register'!AB93))</x:f>
      </x:c>
      <x:c r="O93" s="138" t="str">
        <x:f>IF(A93="","",IF('Risk Register'!AC93="","",'Risk Register'!AC93))</x:f>
      </x:c>
      <x:c r="P93" s="138" t="str">
        <x:f>IF(A93="","",'Risk Register'!AD93)</x:f>
      </x:c>
      <x:c r="Q93" s="138" t="str">
        <x:f>IF(A93="","",'Risk Register'!AE93)</x:f>
      </x:c>
      <x:c r="R93" s="138" t="str">
        <x:f>IF(A93="","",'Risk Register'!AF93)</x:f>
      </x:c>
      <x:c r="S93" s="138" t="str">
        <x:f>IF(A93="","",'Risk Register'!AG93)</x:f>
      </x:c>
      <x:c r="T93" s="138" t="str">
        <x:f>IF(A93="","",IF(NOT(ISNUMBER('Risk Register'!U93)),"Date needed",IF('Risk Register'!U93&lt;=0,"Date needed",IF('Risk Register'!T93="Closed","Closed",IF('Risk Register'!T93="Accepted",IF('Risk Register'!U93&lt;Methodology!$B$25,"Acceptance review due","Accepted - review scheduled"),IF('Risk Register'!U93&lt;Methodology!$B$25,"Overdue",IF('Risk Register'!U93&lt;=Methodology!$B$25+30,"Due within 30 days","Scheduled")))))))</x:f>
      </x:c>
    </x:row>
    <x:row r="94" ht="40" customHeight="1">
      <x:c r="A94" s="138" t="str">
        <x:f>IF('Risk Register'!A94="","",'Risk Register'!A94)</x:f>
      </x:c>
      <x:c r="B94" s="138" t="str">
        <x:f>IF(A94="","",'Risk Register'!D94)</x:f>
      </x:c>
      <x:c r="C94" s="138" t="str">
        <x:f>IF(A94="","",'Risk Register'!P94)</x:f>
      </x:c>
      <x:c r="D94" s="138" t="str">
        <x:f>IF(A94="","",'Risk Register'!Q94)</x:f>
      </x:c>
      <x:c r="E94" s="138" t="str">
        <x:f>IF(A94="","",'Risk Register'!S94)</x:f>
      </x:c>
      <x:c r="F94" s="138" t="str">
        <x:f>IF(A94="","",'Risk Register'!T94)</x:f>
      </x:c>
      <x:c r="G94" s="187" t="str">
        <x:f>IF(A94="","",IF(ISNUMBER('Risk Register'!U94),IF('Risk Register'!U94&gt;0,'Risk Register'!U94,""),""))</x:f>
      </x:c>
      <x:c r="H94" s="138" t="str">
        <x:f>IF(A94="","",IF(OR(F94="Closed",F94="Accepted"),"",IF(ISNUMBER('Risk Register'!U94),IF('Risk Register'!U94&gt;0,'Risk Register'!U94-Methodology!$B$25,""),"")))</x:f>
      </x:c>
      <x:c r="I94" s="138" t="str">
        <x:f>IF(A94="","",'Risk Register'!R94)</x:f>
      </x:c>
      <x:c r="J94" s="138" t="str">
        <x:f>IF(A94="","",'Risk Register'!X94)</x:f>
      </x:c>
      <x:c r="K94" s="138" t="str">
        <x:f>IF(A94="","",IF('Risk Register'!Y94="","",'Risk Register'!Y94))</x:f>
      </x:c>
      <x:c r="L94" s="138" t="str">
        <x:f>IF(A94="","",IF('Risk Register'!Z94="","",'Risk Register'!Z94))</x:f>
      </x:c>
      <x:c r="M94" s="138" t="str">
        <x:f>IF(A94="","",IF('Risk Register'!AA94="","",'Risk Register'!AA94))</x:f>
      </x:c>
      <x:c r="N94" s="188" t="str">
        <x:f>IF(A94="","",IF('Risk Register'!AB94="","",'Risk Register'!AB94))</x:f>
      </x:c>
      <x:c r="O94" s="138" t="str">
        <x:f>IF(A94="","",IF('Risk Register'!AC94="","",'Risk Register'!AC94))</x:f>
      </x:c>
      <x:c r="P94" s="138" t="str">
        <x:f>IF(A94="","",'Risk Register'!AD94)</x:f>
      </x:c>
      <x:c r="Q94" s="138" t="str">
        <x:f>IF(A94="","",'Risk Register'!AE94)</x:f>
      </x:c>
      <x:c r="R94" s="138" t="str">
        <x:f>IF(A94="","",'Risk Register'!AF94)</x:f>
      </x:c>
      <x:c r="S94" s="138" t="str">
        <x:f>IF(A94="","",'Risk Register'!AG94)</x:f>
      </x:c>
      <x:c r="T94" s="138" t="str">
        <x:f>IF(A94="","",IF(NOT(ISNUMBER('Risk Register'!U94)),"Date needed",IF('Risk Register'!U94&lt;=0,"Date needed",IF('Risk Register'!T94="Closed","Closed",IF('Risk Register'!T94="Accepted",IF('Risk Register'!U94&lt;Methodology!$B$25,"Acceptance review due","Accepted - review scheduled"),IF('Risk Register'!U94&lt;Methodology!$B$25,"Overdue",IF('Risk Register'!U94&lt;=Methodology!$B$25+30,"Due within 30 days","Scheduled")))))))</x:f>
      </x:c>
    </x:row>
    <x:row r="95" ht="40" customHeight="1">
      <x:c r="A95" s="138" t="str">
        <x:f>IF('Risk Register'!A95="","",'Risk Register'!A95)</x:f>
      </x:c>
      <x:c r="B95" s="138" t="str">
        <x:f>IF(A95="","",'Risk Register'!D95)</x:f>
      </x:c>
      <x:c r="C95" s="138" t="str">
        <x:f>IF(A95="","",'Risk Register'!P95)</x:f>
      </x:c>
      <x:c r="D95" s="138" t="str">
        <x:f>IF(A95="","",'Risk Register'!Q95)</x:f>
      </x:c>
      <x:c r="E95" s="138" t="str">
        <x:f>IF(A95="","",'Risk Register'!S95)</x:f>
      </x:c>
      <x:c r="F95" s="138" t="str">
        <x:f>IF(A95="","",'Risk Register'!T95)</x:f>
      </x:c>
      <x:c r="G95" s="187" t="str">
        <x:f>IF(A95="","",IF(ISNUMBER('Risk Register'!U95),IF('Risk Register'!U95&gt;0,'Risk Register'!U95,""),""))</x:f>
      </x:c>
      <x:c r="H95" s="138" t="str">
        <x:f>IF(A95="","",IF(OR(F95="Closed",F95="Accepted"),"",IF(ISNUMBER('Risk Register'!U95),IF('Risk Register'!U95&gt;0,'Risk Register'!U95-Methodology!$B$25,""),"")))</x:f>
      </x:c>
      <x:c r="I95" s="138" t="str">
        <x:f>IF(A95="","",'Risk Register'!R95)</x:f>
      </x:c>
      <x:c r="J95" s="138" t="str">
        <x:f>IF(A95="","",'Risk Register'!X95)</x:f>
      </x:c>
      <x:c r="K95" s="138" t="str">
        <x:f>IF(A95="","",IF('Risk Register'!Y95="","",'Risk Register'!Y95))</x:f>
      </x:c>
      <x:c r="L95" s="138" t="str">
        <x:f>IF(A95="","",IF('Risk Register'!Z95="","",'Risk Register'!Z95))</x:f>
      </x:c>
      <x:c r="M95" s="138" t="str">
        <x:f>IF(A95="","",IF('Risk Register'!AA95="","",'Risk Register'!AA95))</x:f>
      </x:c>
      <x:c r="N95" s="188" t="str">
        <x:f>IF(A95="","",IF('Risk Register'!AB95="","",'Risk Register'!AB95))</x:f>
      </x:c>
      <x:c r="O95" s="138" t="str">
        <x:f>IF(A95="","",IF('Risk Register'!AC95="","",'Risk Register'!AC95))</x:f>
      </x:c>
      <x:c r="P95" s="138" t="str">
        <x:f>IF(A95="","",'Risk Register'!AD95)</x:f>
      </x:c>
      <x:c r="Q95" s="138" t="str">
        <x:f>IF(A95="","",'Risk Register'!AE95)</x:f>
      </x:c>
      <x:c r="R95" s="138" t="str">
        <x:f>IF(A95="","",'Risk Register'!AF95)</x:f>
      </x:c>
      <x:c r="S95" s="138" t="str">
        <x:f>IF(A95="","",'Risk Register'!AG95)</x:f>
      </x:c>
      <x:c r="T95" s="138" t="str">
        <x:f>IF(A95="","",IF(NOT(ISNUMBER('Risk Register'!U95)),"Date needed",IF('Risk Register'!U95&lt;=0,"Date needed",IF('Risk Register'!T95="Closed","Closed",IF('Risk Register'!T95="Accepted",IF('Risk Register'!U95&lt;Methodology!$B$25,"Acceptance review due","Accepted - review scheduled"),IF('Risk Register'!U95&lt;Methodology!$B$25,"Overdue",IF('Risk Register'!U95&lt;=Methodology!$B$25+30,"Due within 30 days","Scheduled")))))))</x:f>
      </x:c>
    </x:row>
    <x:row r="96" ht="40" customHeight="1">
      <x:c r="A96" s="138" t="str">
        <x:f>IF('Risk Register'!A96="","",'Risk Register'!A96)</x:f>
      </x:c>
      <x:c r="B96" s="138" t="str">
        <x:f>IF(A96="","",'Risk Register'!D96)</x:f>
      </x:c>
      <x:c r="C96" s="138" t="str">
        <x:f>IF(A96="","",'Risk Register'!P96)</x:f>
      </x:c>
      <x:c r="D96" s="138" t="str">
        <x:f>IF(A96="","",'Risk Register'!Q96)</x:f>
      </x:c>
      <x:c r="E96" s="138" t="str">
        <x:f>IF(A96="","",'Risk Register'!S96)</x:f>
      </x:c>
      <x:c r="F96" s="138" t="str">
        <x:f>IF(A96="","",'Risk Register'!T96)</x:f>
      </x:c>
      <x:c r="G96" s="187" t="str">
        <x:f>IF(A96="","",IF(ISNUMBER('Risk Register'!U96),IF('Risk Register'!U96&gt;0,'Risk Register'!U96,""),""))</x:f>
      </x:c>
      <x:c r="H96" s="138" t="str">
        <x:f>IF(A96="","",IF(OR(F96="Closed",F96="Accepted"),"",IF(ISNUMBER('Risk Register'!U96),IF('Risk Register'!U96&gt;0,'Risk Register'!U96-Methodology!$B$25,""),"")))</x:f>
      </x:c>
      <x:c r="I96" s="138" t="str">
        <x:f>IF(A96="","",'Risk Register'!R96)</x:f>
      </x:c>
      <x:c r="J96" s="138" t="str">
        <x:f>IF(A96="","",'Risk Register'!X96)</x:f>
      </x:c>
      <x:c r="K96" s="138" t="str">
        <x:f>IF(A96="","",IF('Risk Register'!Y96="","",'Risk Register'!Y96))</x:f>
      </x:c>
      <x:c r="L96" s="138" t="str">
        <x:f>IF(A96="","",IF('Risk Register'!Z96="","",'Risk Register'!Z96))</x:f>
      </x:c>
      <x:c r="M96" s="138" t="str">
        <x:f>IF(A96="","",IF('Risk Register'!AA96="","",'Risk Register'!AA96))</x:f>
      </x:c>
      <x:c r="N96" s="188" t="str">
        <x:f>IF(A96="","",IF('Risk Register'!AB96="","",'Risk Register'!AB96))</x:f>
      </x:c>
      <x:c r="O96" s="138" t="str">
        <x:f>IF(A96="","",IF('Risk Register'!AC96="","",'Risk Register'!AC96))</x:f>
      </x:c>
      <x:c r="P96" s="138" t="str">
        <x:f>IF(A96="","",'Risk Register'!AD96)</x:f>
      </x:c>
      <x:c r="Q96" s="138" t="str">
        <x:f>IF(A96="","",'Risk Register'!AE96)</x:f>
      </x:c>
      <x:c r="R96" s="138" t="str">
        <x:f>IF(A96="","",'Risk Register'!AF96)</x:f>
      </x:c>
      <x:c r="S96" s="138" t="str">
        <x:f>IF(A96="","",'Risk Register'!AG96)</x:f>
      </x:c>
      <x:c r="T96" s="138" t="str">
        <x:f>IF(A96="","",IF(NOT(ISNUMBER('Risk Register'!U96)),"Date needed",IF('Risk Register'!U96&lt;=0,"Date needed",IF('Risk Register'!T96="Closed","Closed",IF('Risk Register'!T96="Accepted",IF('Risk Register'!U96&lt;Methodology!$B$25,"Acceptance review due","Accepted - review scheduled"),IF('Risk Register'!U96&lt;Methodology!$B$25,"Overdue",IF('Risk Register'!U96&lt;=Methodology!$B$25+30,"Due within 30 days","Scheduled")))))))</x:f>
      </x:c>
    </x:row>
    <x:row r="97" ht="40" customHeight="1">
      <x:c r="A97" s="138" t="str">
        <x:f>IF('Risk Register'!A97="","",'Risk Register'!A97)</x:f>
      </x:c>
      <x:c r="B97" s="138" t="str">
        <x:f>IF(A97="","",'Risk Register'!D97)</x:f>
      </x:c>
      <x:c r="C97" s="138" t="str">
        <x:f>IF(A97="","",'Risk Register'!P97)</x:f>
      </x:c>
      <x:c r="D97" s="138" t="str">
        <x:f>IF(A97="","",'Risk Register'!Q97)</x:f>
      </x:c>
      <x:c r="E97" s="138" t="str">
        <x:f>IF(A97="","",'Risk Register'!S97)</x:f>
      </x:c>
      <x:c r="F97" s="138" t="str">
        <x:f>IF(A97="","",'Risk Register'!T97)</x:f>
      </x:c>
      <x:c r="G97" s="187" t="str">
        <x:f>IF(A97="","",IF(ISNUMBER('Risk Register'!U97),IF('Risk Register'!U97&gt;0,'Risk Register'!U97,""),""))</x:f>
      </x:c>
      <x:c r="H97" s="138" t="str">
        <x:f>IF(A97="","",IF(OR(F97="Closed",F97="Accepted"),"",IF(ISNUMBER('Risk Register'!U97),IF('Risk Register'!U97&gt;0,'Risk Register'!U97-Methodology!$B$25,""),"")))</x:f>
      </x:c>
      <x:c r="I97" s="138" t="str">
        <x:f>IF(A97="","",'Risk Register'!R97)</x:f>
      </x:c>
      <x:c r="J97" s="138" t="str">
        <x:f>IF(A97="","",'Risk Register'!X97)</x:f>
      </x:c>
      <x:c r="K97" s="138" t="str">
        <x:f>IF(A97="","",IF('Risk Register'!Y97="","",'Risk Register'!Y97))</x:f>
      </x:c>
      <x:c r="L97" s="138" t="str">
        <x:f>IF(A97="","",IF('Risk Register'!Z97="","",'Risk Register'!Z97))</x:f>
      </x:c>
      <x:c r="M97" s="138" t="str">
        <x:f>IF(A97="","",IF('Risk Register'!AA97="","",'Risk Register'!AA97))</x:f>
      </x:c>
      <x:c r="N97" s="188" t="str">
        <x:f>IF(A97="","",IF('Risk Register'!AB97="","",'Risk Register'!AB97))</x:f>
      </x:c>
      <x:c r="O97" s="138" t="str">
        <x:f>IF(A97="","",IF('Risk Register'!AC97="","",'Risk Register'!AC97))</x:f>
      </x:c>
      <x:c r="P97" s="138" t="str">
        <x:f>IF(A97="","",'Risk Register'!AD97)</x:f>
      </x:c>
      <x:c r="Q97" s="138" t="str">
        <x:f>IF(A97="","",'Risk Register'!AE97)</x:f>
      </x:c>
      <x:c r="R97" s="138" t="str">
        <x:f>IF(A97="","",'Risk Register'!AF97)</x:f>
      </x:c>
      <x:c r="S97" s="138" t="str">
        <x:f>IF(A97="","",'Risk Register'!AG97)</x:f>
      </x:c>
      <x:c r="T97" s="138" t="str">
        <x:f>IF(A97="","",IF(NOT(ISNUMBER('Risk Register'!U97)),"Date needed",IF('Risk Register'!U97&lt;=0,"Date needed",IF('Risk Register'!T97="Closed","Closed",IF('Risk Register'!T97="Accepted",IF('Risk Register'!U97&lt;Methodology!$B$25,"Acceptance review due","Accepted - review scheduled"),IF('Risk Register'!U97&lt;Methodology!$B$25,"Overdue",IF('Risk Register'!U97&lt;=Methodology!$B$25+30,"Due within 30 days","Scheduled")))))))</x:f>
      </x:c>
    </x:row>
    <x:row r="98" ht="40" customHeight="1">
      <x:c r="A98" s="138" t="str">
        <x:f>IF('Risk Register'!A98="","",'Risk Register'!A98)</x:f>
      </x:c>
      <x:c r="B98" s="138" t="str">
        <x:f>IF(A98="","",'Risk Register'!D98)</x:f>
      </x:c>
      <x:c r="C98" s="138" t="str">
        <x:f>IF(A98="","",'Risk Register'!P98)</x:f>
      </x:c>
      <x:c r="D98" s="138" t="str">
        <x:f>IF(A98="","",'Risk Register'!Q98)</x:f>
      </x:c>
      <x:c r="E98" s="138" t="str">
        <x:f>IF(A98="","",'Risk Register'!S98)</x:f>
      </x:c>
      <x:c r="F98" s="138" t="str">
        <x:f>IF(A98="","",'Risk Register'!T98)</x:f>
      </x:c>
      <x:c r="G98" s="187" t="str">
        <x:f>IF(A98="","",IF(ISNUMBER('Risk Register'!U98),IF('Risk Register'!U98&gt;0,'Risk Register'!U98,""),""))</x:f>
      </x:c>
      <x:c r="H98" s="138" t="str">
        <x:f>IF(A98="","",IF(OR(F98="Closed",F98="Accepted"),"",IF(ISNUMBER('Risk Register'!U98),IF('Risk Register'!U98&gt;0,'Risk Register'!U98-Methodology!$B$25,""),"")))</x:f>
      </x:c>
      <x:c r="I98" s="138" t="str">
        <x:f>IF(A98="","",'Risk Register'!R98)</x:f>
      </x:c>
      <x:c r="J98" s="138" t="str">
        <x:f>IF(A98="","",'Risk Register'!X98)</x:f>
      </x:c>
      <x:c r="K98" s="138" t="str">
        <x:f>IF(A98="","",IF('Risk Register'!Y98="","",'Risk Register'!Y98))</x:f>
      </x:c>
      <x:c r="L98" s="138" t="str">
        <x:f>IF(A98="","",IF('Risk Register'!Z98="","",'Risk Register'!Z98))</x:f>
      </x:c>
      <x:c r="M98" s="138" t="str">
        <x:f>IF(A98="","",IF('Risk Register'!AA98="","",'Risk Register'!AA98))</x:f>
      </x:c>
      <x:c r="N98" s="188" t="str">
        <x:f>IF(A98="","",IF('Risk Register'!AB98="","",'Risk Register'!AB98))</x:f>
      </x:c>
      <x:c r="O98" s="138" t="str">
        <x:f>IF(A98="","",IF('Risk Register'!AC98="","",'Risk Register'!AC98))</x:f>
      </x:c>
      <x:c r="P98" s="138" t="str">
        <x:f>IF(A98="","",'Risk Register'!AD98)</x:f>
      </x:c>
      <x:c r="Q98" s="138" t="str">
        <x:f>IF(A98="","",'Risk Register'!AE98)</x:f>
      </x:c>
      <x:c r="R98" s="138" t="str">
        <x:f>IF(A98="","",'Risk Register'!AF98)</x:f>
      </x:c>
      <x:c r="S98" s="138" t="str">
        <x:f>IF(A98="","",'Risk Register'!AG98)</x:f>
      </x:c>
      <x:c r="T98" s="138" t="str">
        <x:f>IF(A98="","",IF(NOT(ISNUMBER('Risk Register'!U98)),"Date needed",IF('Risk Register'!U98&lt;=0,"Date needed",IF('Risk Register'!T98="Closed","Closed",IF('Risk Register'!T98="Accepted",IF('Risk Register'!U98&lt;Methodology!$B$25,"Acceptance review due","Accepted - review scheduled"),IF('Risk Register'!U98&lt;Methodology!$B$25,"Overdue",IF('Risk Register'!U98&lt;=Methodology!$B$25+30,"Due within 30 days","Scheduled")))))))</x:f>
      </x:c>
    </x:row>
    <x:row r="99" ht="40" customHeight="1">
      <x:c r="A99" s="138" t="str">
        <x:f>IF('Risk Register'!A99="","",'Risk Register'!A99)</x:f>
      </x:c>
      <x:c r="B99" s="138" t="str">
        <x:f>IF(A99="","",'Risk Register'!D99)</x:f>
      </x:c>
      <x:c r="C99" s="138" t="str">
        <x:f>IF(A99="","",'Risk Register'!P99)</x:f>
      </x:c>
      <x:c r="D99" s="138" t="str">
        <x:f>IF(A99="","",'Risk Register'!Q99)</x:f>
      </x:c>
      <x:c r="E99" s="138" t="str">
        <x:f>IF(A99="","",'Risk Register'!S99)</x:f>
      </x:c>
      <x:c r="F99" s="138" t="str">
        <x:f>IF(A99="","",'Risk Register'!T99)</x:f>
      </x:c>
      <x:c r="G99" s="187" t="str">
        <x:f>IF(A99="","",IF(ISNUMBER('Risk Register'!U99),IF('Risk Register'!U99&gt;0,'Risk Register'!U99,""),""))</x:f>
      </x:c>
      <x:c r="H99" s="138" t="str">
        <x:f>IF(A99="","",IF(OR(F99="Closed",F99="Accepted"),"",IF(ISNUMBER('Risk Register'!U99),IF('Risk Register'!U99&gt;0,'Risk Register'!U99-Methodology!$B$25,""),"")))</x:f>
      </x:c>
      <x:c r="I99" s="138" t="str">
        <x:f>IF(A99="","",'Risk Register'!R99)</x:f>
      </x:c>
      <x:c r="J99" s="138" t="str">
        <x:f>IF(A99="","",'Risk Register'!X99)</x:f>
      </x:c>
      <x:c r="K99" s="138" t="str">
        <x:f>IF(A99="","",IF('Risk Register'!Y99="","",'Risk Register'!Y99))</x:f>
      </x:c>
      <x:c r="L99" s="138" t="str">
        <x:f>IF(A99="","",IF('Risk Register'!Z99="","",'Risk Register'!Z99))</x:f>
      </x:c>
      <x:c r="M99" s="138" t="str">
        <x:f>IF(A99="","",IF('Risk Register'!AA99="","",'Risk Register'!AA99))</x:f>
      </x:c>
      <x:c r="N99" s="188" t="str">
        <x:f>IF(A99="","",IF('Risk Register'!AB99="","",'Risk Register'!AB99))</x:f>
      </x:c>
      <x:c r="O99" s="138" t="str">
        <x:f>IF(A99="","",IF('Risk Register'!AC99="","",'Risk Register'!AC99))</x:f>
      </x:c>
      <x:c r="P99" s="138" t="str">
        <x:f>IF(A99="","",'Risk Register'!AD99)</x:f>
      </x:c>
      <x:c r="Q99" s="138" t="str">
        <x:f>IF(A99="","",'Risk Register'!AE99)</x:f>
      </x:c>
      <x:c r="R99" s="138" t="str">
        <x:f>IF(A99="","",'Risk Register'!AF99)</x:f>
      </x:c>
      <x:c r="S99" s="138" t="str">
        <x:f>IF(A99="","",'Risk Register'!AG99)</x:f>
      </x:c>
      <x:c r="T99" s="138" t="str">
        <x:f>IF(A99="","",IF(NOT(ISNUMBER('Risk Register'!U99)),"Date needed",IF('Risk Register'!U99&lt;=0,"Date needed",IF('Risk Register'!T99="Closed","Closed",IF('Risk Register'!T99="Accepted",IF('Risk Register'!U99&lt;Methodology!$B$25,"Acceptance review due","Accepted - review scheduled"),IF('Risk Register'!U99&lt;Methodology!$B$25,"Overdue",IF('Risk Register'!U99&lt;=Methodology!$B$25+30,"Due within 30 days","Scheduled")))))))</x:f>
      </x:c>
    </x:row>
    <x:row r="100" ht="40" customHeight="1">
      <x:c r="A100" s="138" t="str">
        <x:f>IF('Risk Register'!A100="","",'Risk Register'!A100)</x:f>
      </x:c>
      <x:c r="B100" s="138" t="str">
        <x:f>IF(A100="","",'Risk Register'!D100)</x:f>
      </x:c>
      <x:c r="C100" s="138" t="str">
        <x:f>IF(A100="","",'Risk Register'!P100)</x:f>
      </x:c>
      <x:c r="D100" s="138" t="str">
        <x:f>IF(A100="","",'Risk Register'!Q100)</x:f>
      </x:c>
      <x:c r="E100" s="138" t="str">
        <x:f>IF(A100="","",'Risk Register'!S100)</x:f>
      </x:c>
      <x:c r="F100" s="138" t="str">
        <x:f>IF(A100="","",'Risk Register'!T100)</x:f>
      </x:c>
      <x:c r="G100" s="187" t="str">
        <x:f>IF(A100="","",IF(ISNUMBER('Risk Register'!U100),IF('Risk Register'!U100&gt;0,'Risk Register'!U100,""),""))</x:f>
      </x:c>
      <x:c r="H100" s="138" t="str">
        <x:f>IF(A100="","",IF(OR(F100="Closed",F100="Accepted"),"",IF(ISNUMBER('Risk Register'!U100),IF('Risk Register'!U100&gt;0,'Risk Register'!U100-Methodology!$B$25,""),"")))</x:f>
      </x:c>
      <x:c r="I100" s="138" t="str">
        <x:f>IF(A100="","",'Risk Register'!R100)</x:f>
      </x:c>
      <x:c r="J100" s="138" t="str">
        <x:f>IF(A100="","",'Risk Register'!X100)</x:f>
      </x:c>
      <x:c r="K100" s="138" t="str">
        <x:f>IF(A100="","",IF('Risk Register'!Y100="","",'Risk Register'!Y100))</x:f>
      </x:c>
      <x:c r="L100" s="138" t="str">
        <x:f>IF(A100="","",IF('Risk Register'!Z100="","",'Risk Register'!Z100))</x:f>
      </x:c>
      <x:c r="M100" s="138" t="str">
        <x:f>IF(A100="","",IF('Risk Register'!AA100="","",'Risk Register'!AA100))</x:f>
      </x:c>
      <x:c r="N100" s="188" t="str">
        <x:f>IF(A100="","",IF('Risk Register'!AB100="","",'Risk Register'!AB100))</x:f>
      </x:c>
      <x:c r="O100" s="138" t="str">
        <x:f>IF(A100="","",IF('Risk Register'!AC100="","",'Risk Register'!AC100))</x:f>
      </x:c>
      <x:c r="P100" s="138" t="str">
        <x:f>IF(A100="","",'Risk Register'!AD100)</x:f>
      </x:c>
      <x:c r="Q100" s="138" t="str">
        <x:f>IF(A100="","",'Risk Register'!AE100)</x:f>
      </x:c>
      <x:c r="R100" s="138" t="str">
        <x:f>IF(A100="","",'Risk Register'!AF100)</x:f>
      </x:c>
      <x:c r="S100" s="138" t="str">
        <x:f>IF(A100="","",'Risk Register'!AG100)</x:f>
      </x:c>
      <x:c r="T100" s="138" t="str">
        <x:f>IF(A100="","",IF(NOT(ISNUMBER('Risk Register'!U100)),"Date needed",IF('Risk Register'!U100&lt;=0,"Date needed",IF('Risk Register'!T100="Closed","Closed",IF('Risk Register'!T100="Accepted",IF('Risk Register'!U100&lt;Methodology!$B$25,"Acceptance review due","Accepted - review scheduled"),IF('Risk Register'!U100&lt;Methodology!$B$25,"Overdue",IF('Risk Register'!U100&lt;=Methodology!$B$25+30,"Due within 30 days","Scheduled")))))))</x:f>
      </x:c>
    </x:row>
    <x:row r="101" ht="40" customHeight="1">
      <x:c r="A101" s="138" t="str">
        <x:f>IF('Risk Register'!A101="","",'Risk Register'!A101)</x:f>
      </x:c>
      <x:c r="B101" s="138" t="str">
        <x:f>IF(A101="","",'Risk Register'!D101)</x:f>
      </x:c>
      <x:c r="C101" s="138" t="str">
        <x:f>IF(A101="","",'Risk Register'!P101)</x:f>
      </x:c>
      <x:c r="D101" s="138" t="str">
        <x:f>IF(A101="","",'Risk Register'!Q101)</x:f>
      </x:c>
      <x:c r="E101" s="138" t="str">
        <x:f>IF(A101="","",'Risk Register'!S101)</x:f>
      </x:c>
      <x:c r="F101" s="138" t="str">
        <x:f>IF(A101="","",'Risk Register'!T101)</x:f>
      </x:c>
      <x:c r="G101" s="187" t="str">
        <x:f>IF(A101="","",IF(ISNUMBER('Risk Register'!U101),IF('Risk Register'!U101&gt;0,'Risk Register'!U101,""),""))</x:f>
      </x:c>
      <x:c r="H101" s="138" t="str">
        <x:f>IF(A101="","",IF(OR(F101="Closed",F101="Accepted"),"",IF(ISNUMBER('Risk Register'!U101),IF('Risk Register'!U101&gt;0,'Risk Register'!U101-Methodology!$B$25,""),"")))</x:f>
      </x:c>
      <x:c r="I101" s="138" t="str">
        <x:f>IF(A101="","",'Risk Register'!R101)</x:f>
      </x:c>
      <x:c r="J101" s="138" t="str">
        <x:f>IF(A101="","",'Risk Register'!X101)</x:f>
      </x:c>
      <x:c r="K101" s="138" t="str">
        <x:f>IF(A101="","",IF('Risk Register'!Y101="","",'Risk Register'!Y101))</x:f>
      </x:c>
      <x:c r="L101" s="138" t="str">
        <x:f>IF(A101="","",IF('Risk Register'!Z101="","",'Risk Register'!Z101))</x:f>
      </x:c>
      <x:c r="M101" s="138" t="str">
        <x:f>IF(A101="","",IF('Risk Register'!AA101="","",'Risk Register'!AA101))</x:f>
      </x:c>
      <x:c r="N101" s="188" t="str">
        <x:f>IF(A101="","",IF('Risk Register'!AB101="","",'Risk Register'!AB101))</x:f>
      </x:c>
      <x:c r="O101" s="138" t="str">
        <x:f>IF(A101="","",IF('Risk Register'!AC101="","",'Risk Register'!AC101))</x:f>
      </x:c>
      <x:c r="P101" s="138" t="str">
        <x:f>IF(A101="","",'Risk Register'!AD101)</x:f>
      </x:c>
      <x:c r="Q101" s="138" t="str">
        <x:f>IF(A101="","",'Risk Register'!AE101)</x:f>
      </x:c>
      <x:c r="R101" s="138" t="str">
        <x:f>IF(A101="","",'Risk Register'!AF101)</x:f>
      </x:c>
      <x:c r="S101" s="138" t="str">
        <x:f>IF(A101="","",'Risk Register'!AG101)</x:f>
      </x:c>
      <x:c r="T101" s="138" t="str">
        <x:f>IF(A101="","",IF(NOT(ISNUMBER('Risk Register'!U101)),"Date needed",IF('Risk Register'!U101&lt;=0,"Date needed",IF('Risk Register'!T101="Closed","Closed",IF('Risk Register'!T101="Accepted",IF('Risk Register'!U101&lt;Methodology!$B$25,"Acceptance review due","Accepted - review scheduled"),IF('Risk Register'!U101&lt;Methodology!$B$25,"Overdue",IF('Risk Register'!U101&lt;=Methodology!$B$25+30,"Due within 30 days","Scheduled")))))))</x:f>
      </x:c>
    </x:row>
    <x:row r="102" ht="40" customHeight="1">
      <x:c r="A102" s="138" t="str">
        <x:f>IF('Risk Register'!A102="","",'Risk Register'!A102)</x:f>
      </x:c>
      <x:c r="B102" s="138" t="str">
        <x:f>IF(A102="","",'Risk Register'!D102)</x:f>
      </x:c>
      <x:c r="C102" s="138" t="str">
        <x:f>IF(A102="","",'Risk Register'!P102)</x:f>
      </x:c>
      <x:c r="D102" s="138" t="str">
        <x:f>IF(A102="","",'Risk Register'!Q102)</x:f>
      </x:c>
      <x:c r="E102" s="138" t="str">
        <x:f>IF(A102="","",'Risk Register'!S102)</x:f>
      </x:c>
      <x:c r="F102" s="138" t="str">
        <x:f>IF(A102="","",'Risk Register'!T102)</x:f>
      </x:c>
      <x:c r="G102" s="187" t="str">
        <x:f>IF(A102="","",IF(ISNUMBER('Risk Register'!U102),IF('Risk Register'!U102&gt;0,'Risk Register'!U102,""),""))</x:f>
      </x:c>
      <x:c r="H102" s="138" t="str">
        <x:f>IF(A102="","",IF(OR(F102="Closed",F102="Accepted"),"",IF(ISNUMBER('Risk Register'!U102),IF('Risk Register'!U102&gt;0,'Risk Register'!U102-Methodology!$B$25,""),"")))</x:f>
      </x:c>
      <x:c r="I102" s="138" t="str">
        <x:f>IF(A102="","",'Risk Register'!R102)</x:f>
      </x:c>
      <x:c r="J102" s="138" t="str">
        <x:f>IF(A102="","",'Risk Register'!X102)</x:f>
      </x:c>
      <x:c r="K102" s="138" t="str">
        <x:f>IF(A102="","",IF('Risk Register'!Y102="","",'Risk Register'!Y102))</x:f>
      </x:c>
      <x:c r="L102" s="138" t="str">
        <x:f>IF(A102="","",IF('Risk Register'!Z102="","",'Risk Register'!Z102))</x:f>
      </x:c>
      <x:c r="M102" s="138" t="str">
        <x:f>IF(A102="","",IF('Risk Register'!AA102="","",'Risk Register'!AA102))</x:f>
      </x:c>
      <x:c r="N102" s="188" t="str">
        <x:f>IF(A102="","",IF('Risk Register'!AB102="","",'Risk Register'!AB102))</x:f>
      </x:c>
      <x:c r="O102" s="138" t="str">
        <x:f>IF(A102="","",IF('Risk Register'!AC102="","",'Risk Register'!AC102))</x:f>
      </x:c>
      <x:c r="P102" s="138" t="str">
        <x:f>IF(A102="","",'Risk Register'!AD102)</x:f>
      </x:c>
      <x:c r="Q102" s="138" t="str">
        <x:f>IF(A102="","",'Risk Register'!AE102)</x:f>
      </x:c>
      <x:c r="R102" s="138" t="str">
        <x:f>IF(A102="","",'Risk Register'!AF102)</x:f>
      </x:c>
      <x:c r="S102" s="138" t="str">
        <x:f>IF(A102="","",'Risk Register'!AG102)</x:f>
      </x:c>
      <x:c r="T102" s="138" t="str">
        <x:f>IF(A102="","",IF(NOT(ISNUMBER('Risk Register'!U102)),"Date needed",IF('Risk Register'!U102&lt;=0,"Date needed",IF('Risk Register'!T102="Closed","Closed",IF('Risk Register'!T102="Accepted",IF('Risk Register'!U102&lt;Methodology!$B$25,"Acceptance review due","Accepted - review scheduled"),IF('Risk Register'!U102&lt;Methodology!$B$25,"Overdue",IF('Risk Register'!U102&lt;=Methodology!$B$25+30,"Due within 30 days","Scheduled")))))))</x:f>
      </x:c>
    </x:row>
    <x:row r="103" ht="40" customHeight="1">
      <x:c r="A103" s="138" t="str">
        <x:f>IF('Risk Register'!A103="","",'Risk Register'!A103)</x:f>
      </x:c>
      <x:c r="B103" s="138" t="str">
        <x:f>IF(A103="","",'Risk Register'!D103)</x:f>
      </x:c>
      <x:c r="C103" s="138" t="str">
        <x:f>IF(A103="","",'Risk Register'!P103)</x:f>
      </x:c>
      <x:c r="D103" s="138" t="str">
        <x:f>IF(A103="","",'Risk Register'!Q103)</x:f>
      </x:c>
      <x:c r="E103" s="138" t="str">
        <x:f>IF(A103="","",'Risk Register'!S103)</x:f>
      </x:c>
      <x:c r="F103" s="138" t="str">
        <x:f>IF(A103="","",'Risk Register'!T103)</x:f>
      </x:c>
      <x:c r="G103" s="187" t="str">
        <x:f>IF(A103="","",IF(ISNUMBER('Risk Register'!U103),IF('Risk Register'!U103&gt;0,'Risk Register'!U103,""),""))</x:f>
      </x:c>
      <x:c r="H103" s="138" t="str">
        <x:f>IF(A103="","",IF(OR(F103="Closed",F103="Accepted"),"",IF(ISNUMBER('Risk Register'!U103),IF('Risk Register'!U103&gt;0,'Risk Register'!U103-Methodology!$B$25,""),"")))</x:f>
      </x:c>
      <x:c r="I103" s="138" t="str">
        <x:f>IF(A103="","",'Risk Register'!R103)</x:f>
      </x:c>
      <x:c r="J103" s="138" t="str">
        <x:f>IF(A103="","",'Risk Register'!X103)</x:f>
      </x:c>
      <x:c r="K103" s="138" t="str">
        <x:f>IF(A103="","",IF('Risk Register'!Y103="","",'Risk Register'!Y103))</x:f>
      </x:c>
      <x:c r="L103" s="138" t="str">
        <x:f>IF(A103="","",IF('Risk Register'!Z103="","",'Risk Register'!Z103))</x:f>
      </x:c>
      <x:c r="M103" s="138" t="str">
        <x:f>IF(A103="","",IF('Risk Register'!AA103="","",'Risk Register'!AA103))</x:f>
      </x:c>
      <x:c r="N103" s="188" t="str">
        <x:f>IF(A103="","",IF('Risk Register'!AB103="","",'Risk Register'!AB103))</x:f>
      </x:c>
      <x:c r="O103" s="138" t="str">
        <x:f>IF(A103="","",IF('Risk Register'!AC103="","",'Risk Register'!AC103))</x:f>
      </x:c>
      <x:c r="P103" s="138" t="str">
        <x:f>IF(A103="","",'Risk Register'!AD103)</x:f>
      </x:c>
      <x:c r="Q103" s="138" t="str">
        <x:f>IF(A103="","",'Risk Register'!AE103)</x:f>
      </x:c>
      <x:c r="R103" s="138" t="str">
        <x:f>IF(A103="","",'Risk Register'!AF103)</x:f>
      </x:c>
      <x:c r="S103" s="138" t="str">
        <x:f>IF(A103="","",'Risk Register'!AG103)</x:f>
      </x:c>
      <x:c r="T103" s="138" t="str">
        <x:f>IF(A103="","",IF(NOT(ISNUMBER('Risk Register'!U103)),"Date needed",IF('Risk Register'!U103&lt;=0,"Date needed",IF('Risk Register'!T103="Closed","Closed",IF('Risk Register'!T103="Accepted",IF('Risk Register'!U103&lt;Methodology!$B$25,"Acceptance review due","Accepted - review scheduled"),IF('Risk Register'!U103&lt;Methodology!$B$25,"Overdue",IF('Risk Register'!U103&lt;=Methodology!$B$25+30,"Due within 30 days","Scheduled")))))))</x:f>
      </x:c>
    </x:row>
    <x:row r="104" ht="40" customHeight="1">
      <x:c r="A104" s="138" t="str">
        <x:f>IF('Risk Register'!A104="","",'Risk Register'!A104)</x:f>
      </x:c>
      <x:c r="B104" s="138" t="str">
        <x:f>IF(A104="","",'Risk Register'!D104)</x:f>
      </x:c>
      <x:c r="C104" s="138" t="str">
        <x:f>IF(A104="","",'Risk Register'!P104)</x:f>
      </x:c>
      <x:c r="D104" s="138" t="str">
        <x:f>IF(A104="","",'Risk Register'!Q104)</x:f>
      </x:c>
      <x:c r="E104" s="138" t="str">
        <x:f>IF(A104="","",'Risk Register'!S104)</x:f>
      </x:c>
      <x:c r="F104" s="138" t="str">
        <x:f>IF(A104="","",'Risk Register'!T104)</x:f>
      </x:c>
      <x:c r="G104" s="187" t="str">
        <x:f>IF(A104="","",IF(ISNUMBER('Risk Register'!U104),IF('Risk Register'!U104&gt;0,'Risk Register'!U104,""),""))</x:f>
      </x:c>
      <x:c r="H104" s="138" t="str">
        <x:f>IF(A104="","",IF(OR(F104="Closed",F104="Accepted"),"",IF(ISNUMBER('Risk Register'!U104),IF('Risk Register'!U104&gt;0,'Risk Register'!U104-Methodology!$B$25,""),"")))</x:f>
      </x:c>
      <x:c r="I104" s="138" t="str">
        <x:f>IF(A104="","",'Risk Register'!R104)</x:f>
      </x:c>
      <x:c r="J104" s="138" t="str">
        <x:f>IF(A104="","",'Risk Register'!X104)</x:f>
      </x:c>
      <x:c r="K104" s="138" t="str">
        <x:f>IF(A104="","",IF('Risk Register'!Y104="","",'Risk Register'!Y104))</x:f>
      </x:c>
      <x:c r="L104" s="138" t="str">
        <x:f>IF(A104="","",IF('Risk Register'!Z104="","",'Risk Register'!Z104))</x:f>
      </x:c>
      <x:c r="M104" s="138" t="str">
        <x:f>IF(A104="","",IF('Risk Register'!AA104="","",'Risk Register'!AA104))</x:f>
      </x:c>
      <x:c r="N104" s="188" t="str">
        <x:f>IF(A104="","",IF('Risk Register'!AB104="","",'Risk Register'!AB104))</x:f>
      </x:c>
      <x:c r="O104" s="138" t="str">
        <x:f>IF(A104="","",IF('Risk Register'!AC104="","",'Risk Register'!AC104))</x:f>
      </x:c>
      <x:c r="P104" s="138" t="str">
        <x:f>IF(A104="","",'Risk Register'!AD104)</x:f>
      </x:c>
      <x:c r="Q104" s="138" t="str">
        <x:f>IF(A104="","",'Risk Register'!AE104)</x:f>
      </x:c>
      <x:c r="R104" s="138" t="str">
        <x:f>IF(A104="","",'Risk Register'!AF104)</x:f>
      </x:c>
      <x:c r="S104" s="138" t="str">
        <x:f>IF(A104="","",'Risk Register'!AG104)</x:f>
      </x:c>
      <x:c r="T104" s="138" t="str">
        <x:f>IF(A104="","",IF(NOT(ISNUMBER('Risk Register'!U104)),"Date needed",IF('Risk Register'!U104&lt;=0,"Date needed",IF('Risk Register'!T104="Closed","Closed",IF('Risk Register'!T104="Accepted",IF('Risk Register'!U104&lt;Methodology!$B$25,"Acceptance review due","Accepted - review scheduled"),IF('Risk Register'!U104&lt;Methodology!$B$25,"Overdue",IF('Risk Register'!U104&lt;=Methodology!$B$25+30,"Due within 30 days","Scheduled")))))))</x:f>
      </x:c>
    </x:row>
  </x:sheetData>
  <x:mergeCells>
    <x:mergeCell ref="A1:J1"/>
    <x:mergeCell ref="A2:J2"/>
  </x:mergeCells>
  <x:conditionalFormatting sqref="H5:H104">
    <x:cfRule type="expression" dxfId="8" priority="1">
      <x:formula>AND($A5&lt;&gt;"",$H5&lt;0)</x:formula>
    </x:cfRule>
  </x:conditionalFormatting>
  <x:conditionalFormatting sqref="P5:P104">
    <x:cfRule type="expression" dxfId="11" priority="2">
      <x:formula>AND($A5&lt;&gt;"",P5&lt;&gt;"OK",P5&lt;&gt;"Notes present")</x:formula>
    </x:cfRule>
  </x:conditionalFormatting>
  <x:conditionalFormatting sqref="Q5:Q104">
    <x:cfRule type="expression" dxfId="12" priority="3">
      <x:formula>AND($A5&lt;&gt;"",Q5&lt;&gt;"OK",Q5&lt;&gt;"Notes present")</x:formula>
    </x:cfRule>
  </x:conditionalFormatting>
  <x:conditionalFormatting sqref="T5:T104">
    <x:cfRule type="expression" dxfId="15" priority="4">
      <x:formula>OR(T5="Overdue",T5="Acceptance review due",T5="Date needed")</x:formula>
    </x:cfRule>
  </x:conditionalFormatting>
  <x:pageMargins left="0.7" right="0.7" top="0.75" bottom="0.75" header="0.3" footer="0.3"/>
  <x:tableParts count="1">
    <x:tablePart xmlns:r="http://schemas.openxmlformats.org/officeDocument/2006/relationships" r:id="Rf6987b1cb3a3458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96" hidden="0" customWidth="1"/>
    <x:col min="3" max="3" width="30" hidden="0" customWidth="1"/>
    <x:col min="4" max="4" width="63" hidden="0" customWidth="1"/>
    <x:col min="6" max="6" width="24" hidden="0" customWidth="1"/>
    <x:col min="7" max="7" width="24" hidden="0" customWidth="1"/>
    <x:col min="8" max="8" width="24" hidden="0" customWidth="1"/>
  </x:cols>
  <x:sheetData>
    <x:row r="1">
      <x:c r="A1" s="131" t="str">
        <x:v>ApexCloud Solutions — Cyber Risk Assessment Methodology</x:v>
      </x:c>
      <x:c r="B1" s="132"/>
      <x:c r="C1" s="132"/>
      <x:c r="D1" s="132"/>
      <x:c r="E1" s="132"/>
      <x:c r="F1" s="132"/>
      <x:c r="G1" s="114"/>
      <x:c r="H1" s="114"/>
    </x:row>
    <x:row r="2">
      <x:c r="A2" s="114"/>
      <x:c r="B2" s="114"/>
      <x:c r="C2" s="114"/>
      <x:c r="D2" s="114"/>
      <x:c r="E2" s="114"/>
      <x:c r="F2" s="114"/>
      <x:c r="G2" s="114"/>
      <x:c r="H2" s="114"/>
    </x:row>
    <x:row r="3" ht="55" customHeight="1">
      <x:c r="A3" s="150" t="str">
        <x:v>Purpose</x:v>
      </x:c>
      <x:c r="B3" s="123" t="str">
        <x:v>Simulated portfolio project for a fictional SaaS company. It demonstrates how individual cybersecurity risks are documented, scored, treated, and tracked.</x:v>
      </x:c>
      <x:c r="C3" s="114"/>
      <x:c r="D3" s="114"/>
      <x:c r="E3" s="114"/>
      <x:c r="F3" s="114"/>
      <x:c r="G3" s="114"/>
      <x:c r="H3" s="114"/>
    </x:row>
    <x:row r="4" ht="55" customHeight="1">
      <x:c r="A4" s="150" t="str">
        <x:v>Inherent Risk</x:v>
      </x:c>
      <x:c r="B4" s="123" t="str">
        <x:v>Risk level before considering existing controls.</x:v>
      </x:c>
      <x:c r="C4" s="114"/>
      <x:c r="D4" s="114"/>
      <x:c r="E4" s="114"/>
      <x:c r="F4" s="114"/>
      <x:c r="G4" s="114"/>
      <x:c r="H4" s="114"/>
    </x:row>
    <x:row r="5" ht="55" customHeight="1">
      <x:c r="A5" s="150" t="str">
        <x:v>Residual Risk</x:v>
      </x:c>
      <x:c r="B5" s="123" t="str">
        <x:v>Risk level after considering existing controls. Residual likelihood/impact are assessor judgments; the Control Effectiveness dropdown does not mathematically change them.</x:v>
      </x:c>
      <x:c r="C5" s="114"/>
      <x:c r="D5" s="114"/>
      <x:c r="E5" s="114"/>
      <x:c r="F5" s="114"/>
      <x:c r="G5" s="114"/>
      <x:c r="H5" s="114"/>
    </x:row>
    <x:row r="6" ht="55" customHeight="1">
      <x:c r="A6" s="150" t="str">
        <x:v>Risk Formula</x:v>
      </x:c>
      <x:c r="B6" s="123" t="str">
        <x:v>Likelihood × Impact.</x:v>
      </x:c>
      <x:c r="C6" s="114"/>
      <x:c r="D6" s="114"/>
      <x:c r="E6" s="114"/>
      <x:c r="F6" s="114"/>
      <x:c r="G6" s="114"/>
      <x:c r="H6" s="114"/>
    </x:row>
    <x:row r="7" ht="55" customHeight="1">
      <x:c r="A7" s="150" t="str">
        <x:v>Treatment</x:v>
      </x:c>
      <x:c r="B7" s="123" t="str">
        <x:v>Mitigate, Accept, Transfer, or Avoid.</x:v>
      </x:c>
      <x:c r="C7" s="114"/>
      <x:c r="D7" s="114"/>
      <x:c r="E7" s="114"/>
      <x:c r="F7" s="114"/>
      <x:c r="G7" s="114"/>
      <x:c r="H7" s="114"/>
    </x:row>
    <x:row r="8" ht="55" customHeight="1">
      <x:c r="A8" s="150" t="str">
        <x:v>Expansion</x:v>
      </x:c>
      <x:c r="B8" s="123" t="str">
        <x:v>The Risk Register and Treatment Log are pre-wired for 100 risk rows. Add new risks in blank rows inside the existing table.</x:v>
      </x:c>
      <x:c r="C8" s="114"/>
      <x:c r="D8" s="114"/>
      <x:c r="E8" s="114"/>
      <x:c r="F8" s="114"/>
      <x:c r="G8" s="114"/>
      <x:c r="H8" s="114"/>
    </x:row>
    <x:row r="9" ht="55" customHeight="1">
      <x:c r="A9" s="123"/>
      <x:c r="B9" s="123"/>
      <x:c r="C9" s="114"/>
      <x:c r="D9" s="114"/>
      <x:c r="E9" s="114"/>
      <x:c r="F9" s="114"/>
      <x:c r="G9" s="114"/>
      <x:c r="H9" s="114"/>
    </x:row>
    <x:row r="10">
      <x:c r="A10" s="113" t="str">
        <x:v>Likelihood</x:v>
      </x:c>
      <x:c r="B10" s="113" t="str">
        <x:v>Meaning</x:v>
      </x:c>
      <x:c r="C10" s="113" t="str">
        <x:v>Impact</x:v>
      </x:c>
      <x:c r="D10" s="113" t="str">
        <x:v>Meaning</x:v>
      </x:c>
      <x:c r="E10" s="114"/>
      <x:c r="F10" s="113" t="str">
        <x:v>Score</x:v>
      </x:c>
      <x:c r="G10" s="113" t="str">
        <x:v>Rating</x:v>
      </x:c>
      <x:c r="H10" s="113" t="str">
        <x:v>General Response</x:v>
      </x:c>
    </x:row>
    <x:row r="11">
      <x:c r="A11" s="114" t="n">
        <x:v>1</x:v>
      </x:c>
      <x:c r="B11" s="114" t="str">
        <x:v>Rare</x:v>
      </x:c>
      <x:c r="C11" s="114" t="n">
        <x:v>1</x:v>
      </x:c>
      <x:c r="D11" s="114" t="str">
        <x:v>Minimal</x:v>
      </x:c>
      <x:c r="E11" s="114"/>
      <x:c r="F11" s="114" t="str">
        <x:v>1–4</x:v>
      </x:c>
      <x:c r="G11" s="114" t="str">
        <x:v>Low</x:v>
      </x:c>
      <x:c r="H11" s="114" t="str">
        <x:v>Monitor or accept when justified</x:v>
      </x:c>
    </x:row>
    <x:row r="12">
      <x:c r="A12" s="114" t="n">
        <x:v>2</x:v>
      </x:c>
      <x:c r="B12" s="114" t="str">
        <x:v>Unlikely</x:v>
      </x:c>
      <x:c r="C12" s="114" t="n">
        <x:v>2</x:v>
      </x:c>
      <x:c r="D12" s="114" t="str">
        <x:v>Minor</x:v>
      </x:c>
      <x:c r="E12" s="114"/>
      <x:c r="F12" s="114" t="str">
        <x:v>5–9</x:v>
      </x:c>
      <x:c r="G12" s="114" t="str">
        <x:v>Medium</x:v>
      </x:c>
      <x:c r="H12" s="114" t="str">
        <x:v>Plan treatment and assign ownership</x:v>
      </x:c>
    </x:row>
    <x:row r="13">
      <x:c r="A13" s="114" t="n">
        <x:v>3</x:v>
      </x:c>
      <x:c r="B13" s="114" t="str">
        <x:v>Possible</x:v>
      </x:c>
      <x:c r="C13" s="114" t="n">
        <x:v>3</x:v>
      </x:c>
      <x:c r="D13" s="114" t="str">
        <x:v>Moderate</x:v>
      </x:c>
      <x:c r="E13" s="114"/>
      <x:c r="F13" s="114" t="str">
        <x:v>10–15</x:v>
      </x:c>
      <x:c r="G13" s="114" t="str">
        <x:v>High</x:v>
      </x:c>
      <x:c r="H13" s="114" t="str">
        <x:v>Prioritize remediation</x:v>
      </x:c>
    </x:row>
    <x:row r="14">
      <x:c r="A14" s="114" t="n">
        <x:v>4</x:v>
      </x:c>
      <x:c r="B14" s="114" t="str">
        <x:v>Likely</x:v>
      </x:c>
      <x:c r="C14" s="114" t="n">
        <x:v>4</x:v>
      </x:c>
      <x:c r="D14" s="114" t="str">
        <x:v>Major</x:v>
      </x:c>
      <x:c r="E14" s="114"/>
      <x:c r="F14" s="114" t="str">
        <x:v>16–25</x:v>
      </x:c>
      <x:c r="G14" s="114" t="str">
        <x:v>Critical</x:v>
      </x:c>
      <x:c r="H14" s="114" t="str">
        <x:v>Prompt management attention</x:v>
      </x:c>
    </x:row>
    <x:row r="15">
      <x:c r="A15" s="114" t="n">
        <x:v>5</x:v>
      </x:c>
      <x:c r="B15" s="114" t="str">
        <x:v>Almost Certain</x:v>
      </x:c>
      <x:c r="C15" s="114" t="n">
        <x:v>5</x:v>
      </x:c>
      <x:c r="D15" s="114" t="str">
        <x:v>Severe</x:v>
      </x:c>
      <x:c r="E15" s="114"/>
      <x:c r="F15" s="114"/>
      <x:c r="G15" s="114"/>
      <x:c r="H15" s="114"/>
    </x:row>
    <x:row r="16">
      <x:c r="A16" s="114"/>
      <x:c r="B16" s="114"/>
      <x:c r="C16" s="114"/>
      <x:c r="D16" s="114"/>
      <x:c r="E16" s="114"/>
      <x:c r="F16" s="114"/>
      <x:c r="G16" s="114"/>
      <x:c r="H16" s="114"/>
    </x:row>
    <x:row r="17">
      <x:c r="A17" s="113" t="str">
        <x:v>Framework reference</x:v>
      </x:c>
      <x:c r="B17" s="113" t="str">
        <x:v>URL</x:v>
      </x:c>
      <x:c r="C17" s="114"/>
      <x:c r="D17" s="114"/>
      <x:c r="E17" s="114"/>
      <x:c r="F17" s="114"/>
      <x:c r="G17" s="114"/>
      <x:c r="H17" s="114"/>
    </x:row>
    <x:row r="18">
      <x:c r="A18" s="114" t="str">
        <x:v>NIST Cybersecurity Framework 2.0</x:v>
      </x:c>
      <x:c r="B18" s="114" t="str">
        <x:v>https://www.nist.gov/cyberframework</x:v>
      </x:c>
      <x:c r="C18" s="114"/>
      <x:c r="D18" s="114"/>
      <x:c r="E18" s="114"/>
      <x:c r="F18" s="114"/>
      <x:c r="G18" s="114"/>
      <x:c r="H18" s="114"/>
    </x:row>
    <x:row r="19">
      <x:c r="A19" s="114" t="str">
        <x:v>CIS Critical Security Controls v8.1</x:v>
      </x:c>
      <x:c r="B19" s="114" t="str">
        <x:v>https://www.cisecurity.org/controls/v8-1</x:v>
      </x:c>
      <x:c r="C19" s="114"/>
      <x:c r="D19" s="114"/>
      <x:c r="E19" s="114"/>
      <x:c r="F19" s="114"/>
      <x:c r="G19" s="114"/>
      <x:c r="H19" s="114"/>
    </x:row>
    <x:row r="20">
      <x:c r="A20" s="114" t="str">
        <x:v>CIS Controls list</x:v>
      </x:c>
      <x:c r="B20" s="114" t="str">
        <x:v>https://www.cisecurity.org/controls/cis-controls-list</x:v>
      </x:c>
      <x:c r="C20" s="114"/>
      <x:c r="D20" s="114"/>
      <x:c r="E20" s="114"/>
      <x:c r="F20" s="114"/>
      <x:c r="G20" s="114"/>
      <x:c r="H20" s="114"/>
    </x:row>
    <x:row r="21">
      <x:c r="A21" s="114"/>
      <x:c r="B21" s="114"/>
      <x:c r="C21" s="114"/>
      <x:c r="D21" s="114"/>
      <x:c r="E21" s="114"/>
      <x:c r="F21" s="114"/>
      <x:c r="G21" s="114"/>
      <x:c r="H21" s="114"/>
    </x:row>
    <x:row r="22">
      <x:c r="A22" s="151" t="str">
        <x:v>Framework mappings in this workbook are broad, practical references for a learning project. They are not presented as an official NIST-to-CIS crosswalk or as a compliance audit.</x:v>
      </x:c>
      <x:c r="B22" s="151"/>
      <x:c r="C22" s="151"/>
      <x:c r="D22" s="151"/>
      <x:c r="E22" s="151"/>
      <x:c r="F22" s="151"/>
      <x:c r="G22" s="114"/>
      <x:c r="H22" s="114"/>
    </x:row>
    <x:row r="23">
      <x:c r="A23" s="151"/>
      <x:c r="B23" s="151"/>
      <x:c r="C23" s="151"/>
      <x:c r="D23" s="151"/>
      <x:c r="E23" s="151"/>
      <x:c r="F23" s="151"/>
      <x:c r="G23" s="114"/>
      <x:c r="H23" s="114"/>
    </x:row>
    <x:row r="24">
      <x:c r="A24" s="151"/>
      <x:c r="B24" s="151"/>
      <x:c r="C24" s="151"/>
      <x:c r="D24" s="151"/>
      <x:c r="E24" s="151"/>
      <x:c r="F24" s="151"/>
      <x:c r="G24" s="114"/>
      <x:c r="H24" s="114"/>
    </x:row>
    <x:row r="25" ht="62" customHeight="1">
      <x:c r="A25" s="152" t="str">
        <x:v>Reporting date</x:v>
      </x:c>
      <x:c r="B25" s="153" t="n">
        <x:v>46298</x:v>
      </x:c>
      <x:c r="C25" s="114"/>
      <x:c r="D25" s="114"/>
      <x:c r="E25" s="114"/>
      <x:c r="F25" s="114"/>
      <x:c r="G25" s="114"/>
      <x:c r="H25" s="114"/>
    </x:row>
    <x:row r="26" ht="74" customHeight="1">
      <x:c r="A26" s="156" t="str">
        <x:v>Scope</x:v>
      </x:c>
      <x:c r="B26" s="118" t="str">
        <x:v>Fictional B2B SaaS business using cloud production, employee endpoints, central identity, collaboration tools, source repositories and outsourced services. Priorities are customer-data confidentiality and critical-service availability.</x:v>
      </x:c>
      <x:c r="C26" s="114"/>
      <x:c r="D26" s="114"/>
      <x:c r="E26" s="114"/>
      <x:c r="F26" s="114"/>
      <x:c r="G26" s="114"/>
      <x:c r="H26" s="114"/>
    </x:row>
    <x:row r="27" ht="74" customHeight="1">
      <x:c r="A27" s="156" t="str">
        <x:v>Assessment basis</x:v>
      </x:c>
      <x:c r="B27" s="118" t="str">
        <x:v>All observations and scores are scenario assumptions. No real interviews, configurations, logs, approvals or tests were supplied. Evidence columns identify what to request; completion tests describe work still to perform.</x:v>
      </x:c>
      <x:c r="C27" s="114"/>
      <x:c r="D27" s="114"/>
      <x:c r="E27" s="114"/>
      <x:c r="F27" s="114"/>
      <x:c r="G27" s="114"/>
      <x:c r="H27" s="114"/>
    </x:row>
    <x:row r="28" ht="74" customHeight="1">
      <x:c r="A28" s="156" t="str">
        <x:v>Scoring horizon</x:v>
      </x:c>
      <x:c r="B28" s="118" t="str">
        <x:v>Assess plausible events over the next 12 months. Use consistent exposure and impact assumptions. Scores rank attention; they are not probabilities, expected losses or verified risk reductions.</x:v>
      </x:c>
      <x:c r="C28" s="114"/>
      <x:c r="D28" s="114"/>
      <x:c r="E28" s="114"/>
      <x:c r="F28" s="114"/>
      <x:c r="G28" s="114"/>
      <x:c r="H28" s="114"/>
    </x:row>
    <x:row r="29" ht="74" customHeight="1">
      <x:c r="A29" s="156" t="str">
        <x:v>Record checks</x:v>
      </x:c>
      <x:c r="B29" s="118" t="str">
        <x:v>Input Check reports the first missing/invalid field. Follow-up Check requires rationale, evidence basis/request, review date, related IDs and a completion test. These formulas check fields, not evidence quality or approval authority.</x:v>
      </x:c>
      <x:c r="C29" s="114"/>
      <x:c r="D29" s="114"/>
      <x:c r="E29" s="114"/>
      <x:c r="F29" s="114"/>
      <x:c r="G29" s="114"/>
      <x:c r="H29" s="114"/>
    </x:row>
    <x:row r="30" ht="74" customHeight="1">
      <x:c r="A30" s="156" t="str">
        <x:v>Decision workflow</x:v>
      </x:c>
      <x:c r="B30" s="118" t="str">
        <x:v>Closed or Accepted requires evidence marked reviewed and a decision note. Record approver, date, scope, evidence and retest/expiry. Review these manually. Current scenario records remain active because no completed decisions are evidenced.</x:v>
      </x:c>
      <x:c r="C30" s="114"/>
      <x:c r="D30" s="114"/>
      <x:c r="E30" s="114"/>
      <x:c r="F30" s="114"/>
      <x:c r="G30" s="114"/>
      <x:c r="H30" s="114"/>
    </x:row>
    <x:row r="31" ht="74" customHeight="1">
      <x:c r="A31" s="156" t="str">
        <x:v>Evidence labels</x:v>
      </x:c>
      <x:c r="B31" s="118" t="str">
        <x:v>Scenario only: fictional assumptions. Evidence requested: an actual request has been logged. Evidence reviewed: referenced material was inspected; synthetic evidence must be identified as synthetic.</x:v>
      </x:c>
      <x:c r="C31" s="114"/>
      <x:c r="D31" s="114"/>
      <x:c r="E31" s="114"/>
      <x:c r="F31" s="114"/>
      <x:c r="G31" s="114"/>
      <x:c r="H31" s="114"/>
    </x:row>
    <x:row r="32" ht="74" customHeight="1">
      <x:c r="A32" s="156" t="str">
        <x:v>Cross-project links</x:v>
      </x:c>
      <x:c r="B32" s="118" t="str">
        <x:v>Related IDs connect this version of the two workbooks. They are manually maintained text, not external Excel links. Recheck both sides when adding, removing or changing an ID.</x:v>
      </x:c>
      <x:c r="C32" s="114"/>
      <x:c r="D32" s="114"/>
      <x:c r="E32" s="114"/>
      <x:c r="F32" s="114"/>
      <x:c r="G32" s="114"/>
      <x:c r="H32" s="114"/>
    </x:row>
    <x:row r="33" ht="74" customHeight="1">
      <x:c r="A33" s="156" t="str">
        <x:v>Maintenance</x:v>
      </x:c>
      <x:c r="B33" s="118" t="str">
        <x:v>Edit the main sheet only. Logs mirror its rows; use full-table filters/sorts. Main inputs and formulas support 100 risks. Extending beyond that requires updating every formula, table and validation range.</x:v>
      </x:c>
      <x:c r="C33" s="114"/>
      <x:c r="D33" s="114"/>
      <x:c r="E33" s="114"/>
      <x:c r="F33" s="114"/>
      <x:c r="G33" s="114"/>
      <x:c r="H33" s="114"/>
    </x:row>
    <x:row r="34" ht="74" customHeight="1">
      <x:c r="A34" s="118" t="str">
        <x:v>Reporting date use</x:v>
      </x:c>
      <x:c r="B34" s="118" t="str">
        <x:v>Overdue counts, days remaining and acceptance reviews use B25. Update B25 when issuing a new report. This date does not automatically mark evidence as reviewed.</x:v>
      </x:c>
      <x:c r="C34" s="114"/>
      <x:c r="D34" s="114"/>
      <x:c r="E34" s="114"/>
      <x:c r="F34" s="114"/>
      <x:c r="G34" s="114"/>
      <x:c r="H34" s="114"/>
    </x:row>
    <x:row r="35" ht="74" customHeight="1">
      <x:c r="A35" s="118" t="str">
        <x:v>Limitations</x:v>
      </x:c>
      <x:c r="B35" s="118" t="str">
        <x:v>Control Effectiveness does not calculate residual scores. Existing controls receive credit only when they address the stated event. Proposed treatments receive none. Residual likelihood and impact remain separate judgments.</x:v>
      </x:c>
      <x:c r="C35" s="114"/>
      <x:c r="D35" s="114"/>
      <x:c r="E35" s="114"/>
      <x:c r="F35" s="114"/>
      <x:c r="G35" s="114"/>
      <x:c r="H35" s="114"/>
    </x:row>
    <x:row r="36" ht="74" customHeight="1">
      <x:c r="A36" s="118" t="str">
        <x:v>Completion rule</x:v>
      </x:c>
      <x:c r="B36" s="118" t="str">
        <x:v>A lower score alone does not close an action. Use its completion test, inspect evidence, reassess current exposure and obtain the accountable decision. Accepted risks require an expiry/review date.</x:v>
      </x:c>
      <x:c r="C36" s="114"/>
      <x:c r="D36" s="114"/>
      <x:c r="E36" s="114"/>
      <x:c r="F36" s="114"/>
      <x:c r="G36" s="114"/>
      <x:c r="H36" s="114"/>
    </x:row>
    <x:row r="37" ht="74" customHeight="1">
      <x:c r="A37" s="118" t="str">
        <x:v>Priority response</x:v>
      </x:c>
      <x:c r="B37" s="118" t="str">
        <x:v>Project convention: Critical requires prompt owner/management review; High is prioritized for treatment; Medium is scheduled; Low may be monitored or proposed for acceptance. None is automatically approved.</x:v>
      </x:c>
      <x:c r="C37" s="114"/>
      <x:c r="D37" s="114"/>
      <x:c r="E37" s="114"/>
      <x:c r="F37" s="114"/>
      <x:c r="G37" s="114"/>
      <x:c r="H37" s="114"/>
    </x:row>
    <x:row r="38" ht="74" customHeight="1">
      <x:c r="A38" s="118" t="str">
        <x:v>Change record</x:v>
      </x:c>
      <x:c r="B38" s="118" t="str">
        <x:v>October 3, 2026: completed all scenario rationales, evidence requests and completion tests; added cross-project IDs and reporting-date controls; strengthened validation and corrected unsupported risk reductions and decisions.</x:v>
      </x:c>
      <x:c r="C38" s="114"/>
      <x:c r="D38" s="114"/>
      <x:c r="E38" s="114"/>
      <x:c r="F38" s="114"/>
      <x:c r="G38" s="114"/>
      <x:c r="H38" s="114"/>
    </x:row>
    <x:row r="39">
      <x:c r="A39" s="114"/>
      <x:c r="B39" s="114"/>
      <x:c r="C39" s="114"/>
      <x:c r="D39" s="114"/>
      <x:c r="E39" s="114"/>
      <x:c r="F39" s="114"/>
      <x:c r="G39" s="114"/>
      <x:c r="H39" s="114"/>
    </x:row>
    <x:row r="40" ht="64" customHeight="1">
      <x:c r="A40" s="155" t="str">
        <x:v>Score</x:v>
      </x:c>
      <x:c r="B40" s="155" t="str">
        <x:v>Likelihood over next 12 months</x:v>
      </x:c>
      <x:c r="C40" s="155" t="str">
        <x:v>Score</x:v>
      </x:c>
      <x:c r="D40" s="155" t="str">
        <x:v>Business impact</x:v>
      </x:c>
      <x:c r="E40" s="114"/>
      <x:c r="F40" s="114"/>
      <x:c r="G40" s="114"/>
      <x:c r="H40" s="114"/>
    </x:row>
    <x:row r="41" ht="64" customHeight="1">
      <x:c r="A41" s="123" t="n">
        <x:v>1</x:v>
      </x:c>
      <x:c r="B41" s="123" t="str">
        <x:v>Rare: exceptional exposure and strong relevant barriers.</x:v>
      </x:c>
      <x:c r="C41" s="123" t="n">
        <x:v>1</x:v>
      </x:c>
      <x:c r="D41" s="123" t="str">
        <x:v>Minimal: localized inconvenience, no sensitive data or critical service affected.</x:v>
      </x:c>
      <x:c r="E41" s="114"/>
      <x:c r="F41" s="114"/>
      <x:c r="G41" s="114"/>
      <x:c r="H41" s="114"/>
    </x:row>
    <x:row r="42" ht="64" customHeight="1">
      <x:c r="A42" s="123" t="n">
        <x:v>2</x:v>
      </x:c>
      <x:c r="B42" s="123" t="str">
        <x:v>Unlikely: limited opportunities or meaningful barriers.</x:v>
      </x:c>
      <x:c r="C42" s="123" t="n">
        <x:v>2</x:v>
      </x:c>
      <x:c r="D42" s="123" t="str">
        <x:v>Minor: contained disruption with routine recovery and limited exposure.</x:v>
      </x:c>
      <x:c r="E42" s="114"/>
      <x:c r="F42" s="114"/>
      <x:c r="G42" s="114"/>
      <x:c r="H42" s="114"/>
    </x:row>
    <x:row r="43" ht="64" customHeight="1">
      <x:c r="A43" s="123" t="n">
        <x:v>3</x:v>
      </x:c>
      <x:c r="B43" s="123" t="str">
        <x:v>Possible: a credible path exists; exposure or control gaps remain.</x:v>
      </x:c>
      <x:c r="C43" s="123" t="n">
        <x:v>3</x:v>
      </x:c>
      <x:c r="D43" s="123" t="str">
        <x:v>Moderate: material team disruption or limited confidential-data exposure.</x:v>
      </x:c>
      <x:c r="E43" s="114"/>
      <x:c r="F43" s="114"/>
      <x:c r="G43" s="114"/>
      <x:c r="H43" s="114"/>
    </x:row>
    <x:row r="44" ht="64" customHeight="1">
      <x:c r="A44" s="123" t="n">
        <x:v>4</x:v>
      </x:c>
      <x:c r="B44" s="123" t="str">
        <x:v>Likely: repeated exposure and substantial control gaps.</x:v>
      </x:c>
      <x:c r="C44" s="123" t="n">
        <x:v>4</x:v>
      </x:c>
      <x:c r="D44" s="123" t="str">
        <x:v>Major: broad disruption or significant sensitive-data compromise.</x:v>
      </x:c>
      <x:c r="E44" s="114"/>
      <x:c r="F44" s="114"/>
      <x:c r="G44" s="114"/>
      <x:c r="H44" s="114"/>
    </x:row>
    <x:row r="45" ht="64" customHeight="1">
      <x:c r="A45" s="123" t="n">
        <x:v>5</x:v>
      </x:c>
      <x:c r="B45" s="123" t="str">
        <x:v>Almost certain: persistent exposure with few effective barriers.</x:v>
      </x:c>
      <x:c r="C45" s="123" t="n">
        <x:v>5</x:v>
      </x:c>
      <x:c r="D45" s="123" t="str">
        <x:v>Severe: customer-data compromise or extended critical-service outage.</x:v>
      </x:c>
      <x:c r="E45" s="114"/>
      <x:c r="F45" s="114"/>
      <x:c r="G45" s="114"/>
      <x:c r="H45" s="114"/>
    </x:row>
    <x:row r="46">
      <x:c r="A46" s="114"/>
      <x:c r="B46" s="114"/>
      <x:c r="C46" s="114"/>
      <x:c r="D46" s="114"/>
      <x:c r="E46" s="114"/>
      <x:c r="F46" s="114"/>
      <x:c r="G46" s="114"/>
      <x:c r="H46" s="114"/>
    </x:row>
    <x:row r="47">
      <x:c r="A47" s="114"/>
      <x:c r="B47" s="114"/>
      <x:c r="C47" s="114"/>
      <x:c r="D47" s="114"/>
      <x:c r="E47" s="114"/>
      <x:c r="F47" s="114"/>
      <x:c r="G47" s="114"/>
      <x:c r="H47" s="114"/>
    </x:row>
    <x:row r="48">
      <x:c r="A48" s="114"/>
      <x:c r="B48" s="114"/>
      <x:c r="C48" s="114"/>
      <x:c r="D48" s="114"/>
      <x:c r="E48" s="114"/>
      <x:c r="F48" s="114"/>
      <x:c r="G48" s="114"/>
      <x:c r="H48" s="114"/>
    </x:row>
    <x:row r="49">
      <x:c r="A49" s="114"/>
      <x:c r="B49" s="114"/>
      <x:c r="C49" s="114"/>
      <x:c r="D49" s="114"/>
      <x:c r="E49" s="114"/>
      <x:c r="F49" s="114"/>
      <x:c r="G49" s="114"/>
      <x:c r="H49" s="114"/>
    </x:row>
    <x:row r="50">
      <x:c r="A50" s="114"/>
      <x:c r="B50" s="114"/>
      <x:c r="C50" s="114"/>
      <x:c r="D50" s="114"/>
      <x:c r="E50" s="114"/>
      <x:c r="F50" s="114"/>
      <x:c r="G50" s="114"/>
      <x:c r="H50" s="114"/>
    </x:row>
  </x:sheetData>
  <x:mergeCells>
    <x:mergeCell ref="A1:F1"/>
    <x:mergeCell ref="A22:F24"/>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4" hidden="0" customWidth="1"/>
    <x:col min="4" max="4" width="22" hidden="0" customWidth="1"/>
    <x:col min="5" max="5" width="16" hidden="0" customWidth="1"/>
    <x:col min="6" max="6" width="16" hidden="0" customWidth="1"/>
    <x:col min="8" max="8" width="24" hidden="0" customWidth="1"/>
  </x:cols>
  <x:sheetData>
    <x:row r="1">
      <x:c r="A1" s="113" t="str">
        <x:v>Category</x:v>
      </x:c>
      <x:c r="B1" s="113" t="str">
        <x:v>Control Effectiveness</x:v>
      </x:c>
      <x:c r="C1" s="113" t="str">
        <x:v>Treatment</x:v>
      </x:c>
      <x:c r="D1" s="113" t="str">
        <x:v>Owner</x:v>
      </x:c>
      <x:c r="E1" s="113" t="str">
        <x:v>Status</x:v>
      </x:c>
      <x:c r="F1" s="113" t="str">
        <x:v>NIST Function</x:v>
      </x:c>
      <x:c r="G1" s="114"/>
      <x:c r="H1" s="143" t="str">
        <x:v>Evidence Basis</x:v>
      </x:c>
    </x:row>
    <x:row r="2">
      <x:c r="A2" s="114" t="str">
        <x:v>Identity &amp; Access</x:v>
      </x:c>
      <x:c r="B2" s="114" t="str">
        <x:v>Ineffective</x:v>
      </x:c>
      <x:c r="C2" s="114" t="str">
        <x:v>Mitigate</x:v>
      </x:c>
      <x:c r="D2" s="114" t="str">
        <x:v>CISO</x:v>
      </x:c>
      <x:c r="E2" s="114" t="str">
        <x:v>Open</x:v>
      </x:c>
      <x:c r="F2" s="114" t="str">
        <x:v>Govern</x:v>
      </x:c>
      <x:c r="G2" s="114"/>
      <x:c r="H2" s="114" t="str">
        <x:v>Scenario only</x:v>
      </x:c>
    </x:row>
    <x:row r="3">
      <x:c r="A3" s="114" t="str">
        <x:v>Cloud Security</x:v>
      </x:c>
      <x:c r="B3" s="114" t="str">
        <x:v>Partially Effective</x:v>
      </x:c>
      <x:c r="C3" s="114" t="str">
        <x:v>Accept</x:v>
      </x:c>
      <x:c r="D3" s="114" t="str">
        <x:v>IT Manager</x:v>
      </x:c>
      <x:c r="E3" s="114" t="str">
        <x:v>Planned</x:v>
      </x:c>
      <x:c r="F3" s="114" t="str">
        <x:v>Identify</x:v>
      </x:c>
      <x:c r="G3" s="114"/>
      <x:c r="H3" s="114" t="str">
        <x:v>Evidence requested</x:v>
      </x:c>
    </x:row>
    <x:row r="4">
      <x:c r="A4" s="114" t="str">
        <x:v>Endpoint Security</x:v>
      </x:c>
      <x:c r="B4" s="114" t="str">
        <x:v>Effective</x:v>
      </x:c>
      <x:c r="C4" s="114" t="str">
        <x:v>Transfer</x:v>
      </x:c>
      <x:c r="D4" s="114" t="str">
        <x:v>Security Manager</x:v>
      </x:c>
      <x:c r="E4" s="114" t="str">
        <x:v>In Progress</x:v>
      </x:c>
      <x:c r="F4" s="114" t="str">
        <x:v>Protect</x:v>
      </x:c>
      <x:c r="G4" s="114"/>
      <x:c r="H4" s="114" t="str">
        <x:v>Evidence reviewed</x:v>
      </x:c>
    </x:row>
    <x:row r="5">
      <x:c r="A5" s="114" t="str">
        <x:v>Vulnerability Management</x:v>
      </x:c>
      <x:c r="B5" s="114" t="str">
        <x:v>Highly Effective</x:v>
      </x:c>
      <x:c r="C5" s="114" t="str">
        <x:v>Avoid</x:v>
      </x:c>
      <x:c r="D5" s="114" t="str">
        <x:v>Application Owner</x:v>
      </x:c>
      <x:c r="E5" s="114" t="str">
        <x:v>Closed</x:v>
      </x:c>
      <x:c r="F5" s="114" t="str">
        <x:v>Detect</x:v>
      </x:c>
      <x:c r="G5" s="114"/>
      <x:c r="H5" s="114"/>
    </x:row>
    <x:row r="6">
      <x:c r="A6" s="114" t="str">
        <x:v>Data Protection</x:v>
      </x:c>
      <x:c r="B6" s="114" t="str"/>
      <x:c r="C6" s="114" t="str"/>
      <x:c r="D6" s="114" t="str">
        <x:v>Data Owner</x:v>
      </x:c>
      <x:c r="E6" s="114" t="str">
        <x:v>Accepted</x:v>
      </x:c>
      <x:c r="F6" s="114" t="str">
        <x:v>Respond</x:v>
      </x:c>
      <x:c r="G6" s="114"/>
      <x:c r="H6" s="114"/>
    </x:row>
    <x:row r="7">
      <x:c r="A7" s="114" t="str">
        <x:v>Third-Party Risk</x:v>
      </x:c>
      <x:c r="B7" s="114" t="str"/>
      <x:c r="C7" s="114" t="str"/>
      <x:c r="D7" s="114" t="str">
        <x:v>Operations Manager</x:v>
      </x:c>
      <x:c r="E7" s="114"/>
      <x:c r="F7" s="114" t="str">
        <x:v>Recover</x:v>
      </x:c>
      <x:c r="G7" s="114"/>
      <x:c r="H7" s="114"/>
    </x:row>
    <x:row r="8">
      <x:c r="A8" s="114" t="str">
        <x:v>Incident Response</x:v>
      </x:c>
      <x:c r="B8" s="114" t="str"/>
      <x:c r="C8" s="114" t="str"/>
      <x:c r="D8" s="114" t="str">
        <x:v>Vendor Manager</x:v>
      </x:c>
      <x:c r="E8" s="114" t="str"/>
      <x:c r="F8" s="114" t="str"/>
      <x:c r="G8" s="114"/>
      <x:c r="H8" s="114"/>
    </x:row>
    <x:row r="9">
      <x:c r="A9" s="114" t="str">
        <x:v>Business Continuity</x:v>
      </x:c>
      <x:c r="B9" s="114" t="str"/>
      <x:c r="C9" s="114" t="str"/>
      <x:c r="D9" s="114" t="str">
        <x:v>HR Manager</x:v>
      </x:c>
      <x:c r="E9" s="114" t="str"/>
      <x:c r="F9" s="114" t="str"/>
      <x:c r="G9" s="114"/>
      <x:c r="H9" s="114"/>
    </x:row>
    <x:row r="10">
      <x:c r="A10" s="114" t="str">
        <x:v>Security Awareness</x:v>
      </x:c>
      <x:c r="B10" s="114" t="str"/>
      <x:c r="C10" s="114" t="str"/>
      <x:c r="D10" s="114" t="str">
        <x:v>Compliance Manager</x:v>
      </x:c>
      <x:c r="E10" s="114" t="str"/>
      <x:c r="F10" s="114" t="str"/>
      <x:c r="G10" s="114"/>
      <x:c r="H10" s="114"/>
    </x:row>
    <x:row r="11">
      <x:c r="A11" s="114" t="str">
        <x:v>Network Security</x:v>
      </x:c>
      <x:c r="B11" s="114" t="str"/>
      <x:c r="C11" s="114" t="str"/>
      <x:c r="D11" s="114" t="str">
        <x:v>Cloud Owner</x:v>
      </x:c>
      <x:c r="E11" s="114" t="str"/>
      <x:c r="F11" s="114" t="str"/>
      <x:c r="G11" s="114"/>
      <x:c r="H11" s="114"/>
    </x:row>
    <x:row r="12">
      <x:c r="A12" s="114" t="str">
        <x:v>Governance &amp; Compliance</x:v>
      </x:c>
      <x:c r="B12" s="114" t="str"/>
      <x:c r="C12" s="114" t="str"/>
      <x:c r="D12" s="114" t="str"/>
      <x:c r="E12" s="114" t="str"/>
      <x:c r="F12" s="114" t="str"/>
      <x:c r="G12" s="114"/>
      <x:c r="H12" s="114"/>
    </x:row>
    <x:row r="13">
      <x:c r="A13" s="114" t="str">
        <x:v>Application Security</x:v>
      </x:c>
      <x:c r="B13" s="114" t="str"/>
      <x:c r="C13" s="114" t="str"/>
      <x:c r="D13" s="114" t="str"/>
      <x:c r="E13" s="114" t="str"/>
      <x:c r="F13" s="114" t="str"/>
      <x:c r="G13" s="114"/>
      <x:c r="H13" s="114"/>
    </x:row>
    <x:row r="14">
      <x:c r="A14" s="114"/>
      <x:c r="B14" s="114"/>
      <x:c r="C14" s="114"/>
      <x:c r="D14" s="114"/>
      <x:c r="E14" s="114"/>
      <x:c r="F14" s="114"/>
      <x:c r="G14" s="114"/>
      <x:c r="H14" s="114"/>
    </x:row>
    <x:row r="15">
      <x:c r="A15" s="114"/>
      <x:c r="B15" s="114"/>
      <x:c r="C15" s="114"/>
      <x:c r="D15" s="114"/>
      <x:c r="E15" s="114"/>
      <x:c r="F15" s="114"/>
      <x:c r="G15" s="114"/>
      <x:c r="H15" s="114"/>
    </x:row>
  </x:sheetData>
  <x:pageMargins left="0.7" right="0.7" top="0.75" bottom="0.75" header="0.3" footer="0.3"/>
</x:worksheet>
</file>